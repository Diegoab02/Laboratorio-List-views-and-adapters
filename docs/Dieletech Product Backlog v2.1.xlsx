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cance" sheetId="1" state="visible" r:id="rId3"/>
    <sheet name="Backlog" sheetId="2" state="visible" r:id="rId4"/>
    <sheet name="Sprints" sheetId="3" state="visible" r:id="rId5"/>
  </sheets>
  <definedNames>
    <definedName function="false" hidden="true" localSheetId="1" name="_xlnm._FilterDatabase" vbProcedure="false">Backlog!$A$4:$N$40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<sst xmlns="http://schemas.openxmlformats.org/spreadsheetml/2006/main" count="524" uniqueCount="326">
  <si>
    <t xml:space="preserve">DIELETECH</t>
  </si>
  <si>
    <t xml:space="preserve">Tu ruta hacia tu 1° en Tech</t>
  </si>
  <si>
    <t xml:space="preserve">Product Backlog — SCRUM  |  Versión 2.1</t>
  </si>
  <si>
    <t xml:space="preserve">Este archivo se GENERA desde el tablero dinámico. No lo edites a mano: los cambios se hacen en el tablero y el archivo se vuelve a generar.</t>
  </si>
  <si>
    <t xml:space="preserve">FICHA DEL PROYECTO</t>
  </si>
  <si>
    <t xml:space="preserve">Nicho de mercado</t>
  </si>
  <si>
    <t xml:space="preserve">Plataforma de aprendizaje para desarrolladores junior y estudiantes de sistemas</t>
  </si>
  <si>
    <t xml:space="preserve">Equipo de desarrollo</t>
  </si>
  <si>
    <t xml:space="preserve">1 integrante (Diego Alejandro Betancur Herrera) con Claude como asistente técnico</t>
  </si>
  <si>
    <t xml:space="preserve">Metodología</t>
  </si>
  <si>
    <t xml:space="preserve">SCRUM adaptado a equipo reducido</t>
  </si>
  <si>
    <t xml:space="preserve">Duración de Sprint</t>
  </si>
  <si>
    <t xml:space="preserve">1 semana</t>
  </si>
  <si>
    <t xml:space="preserve">Plataforma objetivo</t>
  </si>
  <si>
    <t xml:space="preserve">Web App / PWA instalable + App Android nativa en Kotlin</t>
  </si>
  <si>
    <t xml:space="preserve">Rutas de contenido</t>
  </si>
  <si>
    <t xml:space="preserve">Python · HTML/CSS/JS · Git y GitHub · Java/Spring Boot · React · MySQL</t>
  </si>
  <si>
    <t xml:space="preserve">Velocidad estimada</t>
  </si>
  <si>
    <t xml:space="preserve">8 a 10 Story Points por Sprint</t>
  </si>
  <si>
    <t xml:space="preserve">Repositorio</t>
  </si>
  <si>
    <t xml:space="preserve">github.com/Diegoab02/DIELTECH (privado). Las credenciales quedan fuera del control de versiones.</t>
  </si>
  <si>
    <t xml:space="preserve">Estado del MVP</t>
  </si>
  <si>
    <t xml:space="preserve">100% — las 12 historias del alcance original están cerradas</t>
  </si>
  <si>
    <t xml:space="preserve">CÓMO LEER ESTE ARCHIVO</t>
  </si>
  <si>
    <t xml:space="preserve">Sprint Planificado</t>
  </si>
  <si>
    <t xml:space="preserve">El sprint que el backlog original asignó a la historia.</t>
  </si>
  <si>
    <t xml:space="preserve">Sprint Real</t>
  </si>
  <si>
    <t xml:space="preserve">El sprint en el que la historia cumplió de verdad su condición de cumplimiento.</t>
  </si>
  <si>
    <t xml:space="preserve">Observación</t>
  </si>
  <si>
    <t xml:space="preserve">Explica la diferencia cuando el sprint real no coincide con el planificado.</t>
  </si>
  <si>
    <t xml:space="preserve">Fase</t>
  </si>
  <si>
    <t xml:space="preserve">MVP v1.0 (alcance original) · Entregado extra (surgió durante la ejecución) · Backlog futuro.</t>
  </si>
  <si>
    <t xml:space="preserve">HALLAZGO DE LA REVISIÓN DEL SPRINT 8</t>
  </si>
  <si>
    <t xml:space="preserve">Tres historias del MVP (HU-03, HU-05 y HU-06) estaban marcadas como HECHO sin cumplir su condición de cumplimiento. La recuperación de contraseña no se podía completar porque el frontend esperaba un token por URL y el backend enviaba un código; la ficha de curso no tenía la lección de vista previa gratuita; y el checkout solo pedía el nombre. Ninguna de las tres producía un error visible, y por eso pasaron la revisión. Se cerraron de verdad en el Sprint 8.</t>
  </si>
  <si>
    <t xml:space="preserve">LEYENDA DE PRIORIDAD</t>
  </si>
  <si>
    <t xml:space="preserve">Prioridad 1-5</t>
  </si>
  <si>
    <t xml:space="preserve">Crítica — Sprint 1 a 2</t>
  </si>
  <si>
    <t xml:space="preserve">Prioridad 6-10</t>
  </si>
  <si>
    <t xml:space="preserve">Alta — Sprint 3 a 5</t>
  </si>
  <si>
    <t xml:space="preserve">Prioridad 11+</t>
  </si>
  <si>
    <t xml:space="preserve">Media o baja — Backlog futuro</t>
  </si>
  <si>
    <t xml:space="preserve">DIELETECH — PRODUCT BACKLOG v2.1</t>
  </si>
  <si>
    <t xml:space="preserve">Generado desde el tablero dinámico · MVP v1.0 al 100% · Sprints 1 a 9</t>
  </si>
  <si>
    <t xml:space="preserve">ID</t>
  </si>
  <si>
    <t xml:space="preserve">Épica / Feature</t>
  </si>
  <si>
    <t xml:space="preserve">Rol (Como)</t>
  </si>
  <si>
    <t xml:space="preserve">Objetivo (Deseo)</t>
  </si>
  <si>
    <t xml:space="preserve">Razón (Para qué)</t>
  </si>
  <si>
    <t xml:space="preserve">Condición de Cumplimiento</t>
  </si>
  <si>
    <t xml:space="preserve">SP</t>
  </si>
  <si>
    <t xml:space="preserve">Prioridad</t>
  </si>
  <si>
    <t xml:space="preserve">Justificación de Prioridad</t>
  </si>
  <si>
    <t xml:space="preserve">Estado</t>
  </si>
  <si>
    <t xml:space="preserve">HU-01</t>
  </si>
  <si>
    <t xml:space="preserve">MVP v1.0</t>
  </si>
  <si>
    <t xml:space="preserve">Autenticación</t>
  </si>
  <si>
    <t xml:space="preserve">Estudiante nuevo</t>
  </si>
  <si>
    <t xml:space="preserve">registrarme con correo y contraseña</t>
  </si>
  <si>
    <t xml:space="preserve">crear mi cuenta y acceder a la plataforma</t>
  </si>
  <si>
    <t xml:space="preserve">Formulario con validación. Correo de verificación con código de 6 dígitos. No se permite acceso sin verificar.</t>
  </si>
  <si>
    <t xml:space="preserve">Base obligatoria del sistema. Ninguna otra historia puede probarse sin cuentas de usuario.</t>
  </si>
  <si>
    <t xml:space="preserve">Sprint 1</t>
  </si>
  <si>
    <t xml:space="preserve">Hecho</t>
  </si>
  <si>
    <t xml:space="preserve">HU-02</t>
  </si>
  <si>
    <t xml:space="preserve">Usuario registrado</t>
  </si>
  <si>
    <t xml:space="preserve">iniciar sesión con mis credenciales</t>
  </si>
  <si>
    <t xml:space="preserve">acceder a mi cuenta y continuar donde lo dejé</t>
  </si>
  <si>
    <t xml:space="preserve">Login funcional. Mensaje de error si las credenciales son incorrectas. Redirección al panel según el rol.</t>
  </si>
  <si>
    <t xml:space="preserve">Complemento directo del registro. Sin login el sistema es inutilizable.</t>
  </si>
  <si>
    <t xml:space="preserve">HU-03</t>
  </si>
  <si>
    <t xml:space="preserve">recuperar mi contraseña si la olvido</t>
  </si>
  <si>
    <t xml:space="preserve">no perder el acceso a mi cuenta</t>
  </si>
  <si>
    <t xml:space="preserve">Código de 6 dígitos por correo, expira en 30 minutos. Flujo completo en web y en Android.</t>
  </si>
  <si>
    <t xml:space="preserve">Reduce el riesgo de perder usuarios por bloqueo de cuenta. Bajo esfuerzo, alto impacto.</t>
  </si>
  <si>
    <t xml:space="preserve">Sprint 8</t>
  </si>
  <si>
    <t xml:space="preserve">Se dio por cerrada en el Sprint 1, pero el frontend esperaba un token por URL y el backend enviaba un código: el flujo nunca se podía completar. Android no tenía la pantalla. Cerrada de verdad en el Sprint 8.</t>
  </si>
  <si>
    <t xml:space="preserve">HU-04</t>
  </si>
  <si>
    <t xml:space="preserve">Catálogo</t>
  </si>
  <si>
    <t xml:space="preserve">Visitante</t>
  </si>
  <si>
    <t xml:space="preserve">ver el catálogo de rutas de aprendizaje disponibles</t>
  </si>
  <si>
    <t xml:space="preserve">conocer la oferta técnica antes de registrarme o comprar</t>
  </si>
  <si>
    <t xml:space="preserve">Lista de cursos con tecnología, nivel, precio, matriculados y cupos. Accesible sin iniciar sesión.</t>
  </si>
  <si>
    <t xml:space="preserve">Es la puerta de entrada del negocio. Sin catálogo visible no hay ventas posibles.</t>
  </si>
  <si>
    <t xml:space="preserve">Sin asignar</t>
  </si>
  <si>
    <t xml:space="preserve">Sprint 2</t>
  </si>
  <si>
    <t xml:space="preserve">El backlog original no le asignó sprint.</t>
  </si>
  <si>
    <t xml:space="preserve">HU-05</t>
  </si>
  <si>
    <t xml:space="preserve">Comprador</t>
  </si>
  <si>
    <t xml:space="preserve">ver el detalle completo de un curso</t>
  </si>
  <si>
    <t xml:space="preserve">decidir si lo compro con información suficiente</t>
  </si>
  <si>
    <t xml:space="preserve">Muestra descripción extensa, objetivos, temario, requisitos, duración y una lección de vista previa gratuita reproducible.</t>
  </si>
  <si>
    <t xml:space="preserve">Paso obligatorio previo a la compra. Reduce el riesgo de reembolsos o dudas.</t>
  </si>
  <si>
    <t xml:space="preserve">La ficha existía desde el Sprint 2, pero la lección de vista previa gratuita es criterio de aceptación y solo llegó en el Sprint 8.</t>
  </si>
  <si>
    <t xml:space="preserve">HU-06</t>
  </si>
  <si>
    <t xml:space="preserve">comprar un curso con un método de pago simple</t>
  </si>
  <si>
    <t xml:space="preserve">obtener acceso inmediato al contenido</t>
  </si>
  <si>
    <t xml:space="preserve">Checkout con validación estricta de todos los campos. Acceso habilitado tras el pago. No se puede comprar dos veces ni sin cupo.</t>
  </si>
  <si>
    <t xml:space="preserve">Es el motor de monetización. Se simplifica a un método de pago para reducir riesgo técnico.</t>
  </si>
  <si>
    <t xml:space="preserve">Sprint 3</t>
  </si>
  <si>
    <t xml:space="preserve">El checkout del Sprint 3 solo pedía el nombre. Las cinco reglas de negocio se agregaron en el Sprint 8.</t>
  </si>
  <si>
    <t xml:space="preserve">HU-07</t>
  </si>
  <si>
    <t xml:space="preserve">Contenido</t>
  </si>
  <si>
    <t xml:space="preserve">Estudiante inscrito</t>
  </si>
  <si>
    <t xml:space="preserve">ver los videos de las lecciones de mi curso</t>
  </si>
  <si>
    <t xml:space="preserve">avanzar en mi aprendizaje a mi propio ritmo</t>
  </si>
  <si>
    <t xml:space="preserve">Reproductor con control de progreso. La lección recuerda la última posición vista.</t>
  </si>
  <si>
    <t xml:space="preserve">Es el contenido que el estudiante pagó. Sin esto el producto no entrega valor real.</t>
  </si>
  <si>
    <t xml:space="preserve">Sprint 4</t>
  </si>
  <si>
    <t xml:space="preserve">Replanificada del Sprint 3 al 4 por capacidad.</t>
  </si>
  <si>
    <t xml:space="preserve">HU-08</t>
  </si>
  <si>
    <t xml:space="preserve">Estudiante</t>
  </si>
  <si>
    <t xml:space="preserve">ver mi porcentaje de avance en la ruta que estoy tomando</t>
  </si>
  <si>
    <t xml:space="preserve">saber cuánto me falta y mantenerme motivado</t>
  </si>
  <si>
    <t xml:space="preserve">Barra de progreso con el conteo real de lecciones completadas. Solo se registra progreso de cursos comprados.</t>
  </si>
  <si>
    <t xml:space="preserve">Necesario para habilitar la evaluación final y el certificado. Motiva la finalización del curso.</t>
  </si>
  <si>
    <t xml:space="preserve">HU-09</t>
  </si>
  <si>
    <t xml:space="preserve">Instructor</t>
  </si>
  <si>
    <t xml:space="preserve">crear un curso técnico con módulos y lecciones</t>
  </si>
  <si>
    <t xml:space="preserve">publicar contenido para que los estudiantes lo consuman</t>
  </si>
  <si>
    <t xml:space="preserve">Formulario de curso y de lecciones con validación en servidor. Archivado lógico que conserva el historial de compras.</t>
  </si>
  <si>
    <t xml:space="preserve">Sin esta historia no existe contenido en la plataforma. Panel único sin revisión editorial.</t>
  </si>
  <si>
    <t xml:space="preserve">Sprint 5</t>
  </si>
  <si>
    <t xml:space="preserve">El CRUD funcionaba desde el Sprint 5, pero el panel no tenía enlace en la navegación hasta el Sprint 8.</t>
  </si>
  <si>
    <t xml:space="preserve">HU-10</t>
  </si>
  <si>
    <t xml:space="preserve">Certificación</t>
  </si>
  <si>
    <t xml:space="preserve">presentar una evaluación final al terminar una ruta</t>
  </si>
  <si>
    <t xml:space="preserve">demostrar que aprendí y obtener mi certificado</t>
  </si>
  <si>
    <t xml:space="preserve">Quiz de opción múltiple, mínimo 70%. Solo con el curso comprado y las lecciones completas. No se aceptan intentos parciales. 48 preguntas sembradas.</t>
  </si>
  <si>
    <t xml:space="preserve">Cierra el ciclo de valor: motivación principal para completar un curso pago.</t>
  </si>
  <si>
    <t xml:space="preserve">Sprint 6</t>
  </si>
  <si>
    <t xml:space="preserve">Sprint 9</t>
  </si>
  <si>
    <t xml:space="preserve">HU-11</t>
  </si>
  <si>
    <t xml:space="preserve">descargar mi certificado en PDF al aprobar el curso</t>
  </si>
  <si>
    <t xml:space="preserve">compartirlo en LinkedIn como evidencia</t>
  </si>
  <si>
    <t xml:space="preserve">PDF A4 apaisado con PDFBox: nombre, curso, horas, calificación, fecha, código DTC-XXXX-XXXX-XXXX y QR. Se emite una sola vez.</t>
  </si>
  <si>
    <t xml:space="preserve">Alto valor percibido con bajo esfuerzo técnico.</t>
  </si>
  <si>
    <t xml:space="preserve">HU-12</t>
  </si>
  <si>
    <t xml:space="preserve">Plataforma</t>
  </si>
  <si>
    <t xml:space="preserve">usar Dieletech correctamente desde mi celular</t>
  </si>
  <si>
    <t xml:space="preserve">aprender desde cualquier lugar sin instalar una app nativa</t>
  </si>
  <si>
    <t xml:space="preserve">PWA instalable con manifiesto, iconos y atajos. Service worker que precachea el shell; la API queda fuera del caché. Responsive verificado a 400px.</t>
  </si>
  <si>
    <t xml:space="preserve">Cubre movilidad con mucho menor esfuerzo que una segunda app.</t>
  </si>
  <si>
    <t xml:space="preserve">Sprint 7</t>
  </si>
  <si>
    <t xml:space="preserve">HU-14</t>
  </si>
  <si>
    <t xml:space="preserve">Entregado extra</t>
  </si>
  <si>
    <t xml:space="preserve">Perfil</t>
  </si>
  <si>
    <t xml:space="preserve">editar mi perfil por completo</t>
  </si>
  <si>
    <t xml:space="preserve">personalizar mi experiencia en la plataforma</t>
  </si>
  <si>
    <t xml:space="preserve">Avatar, biografía, cargo, contacto, intereses, redes, color de acento, tema, idioma, notificaciones y visibilidad. Cambio de contraseña con verificación de la actual.</t>
  </si>
  <si>
    <t xml:space="preserve">Estaba diferida al backlog futuro. Se adelantó porque es la base de las recomendaciones y las notificaciones personalizadas.</t>
  </si>
  <si>
    <t xml:space="preserve">Backlog</t>
  </si>
  <si>
    <t xml:space="preserve">Adelantada desde el Backlog Futuro v2.0.</t>
  </si>
  <si>
    <t xml:space="preserve">HU-21</t>
  </si>
  <si>
    <t xml:space="preserve">Administrador</t>
  </si>
  <si>
    <t xml:space="preserve">definir un cupo máximo por curso</t>
  </si>
  <si>
    <t xml:space="preserve">controlar el aforo real de cada cohorte</t>
  </si>
  <si>
    <t xml:space="preserve">Campo capacity por curso. La compra se bloquea al agotarse y el cupo no puede reducirse por debajo de los ya matriculados.</t>
  </si>
  <si>
    <t xml:space="preserve">Sin cupos, el catálogo mostraba disponibilidad infinita y cifras de estudiantes sin respaldo.</t>
  </si>
  <si>
    <t xml:space="preserve">No existía</t>
  </si>
  <si>
    <t xml:space="preserve">Nacida de la revisión funcional del Sprint 8.</t>
  </si>
  <si>
    <t xml:space="preserve">HU-22</t>
  </si>
  <si>
    <t xml:space="preserve">ver métricas reales de mis cursos</t>
  </si>
  <si>
    <t xml:space="preserve">decidir sobre precio, contenido y aforo con datos</t>
  </si>
  <si>
    <t xml:space="preserve">Ingresos, matrículas, ocupación, progreso medio, tasa de finalización, tendencia de 30 días y desglose por tecnología, todo derivado de compras y progreso reales.</t>
  </si>
  <si>
    <t xml:space="preserve">El panel anterior mostraba el contador sembrado del seeder, no información de negocio.</t>
  </si>
  <si>
    <t xml:space="preserve">HU-23</t>
  </si>
  <si>
    <t xml:space="preserve">impedir el acceso al contenido pago sin compra</t>
  </si>
  <si>
    <t xml:space="preserve">proteger el activo del negocio</t>
  </si>
  <si>
    <t xml:space="preserve">El backend omite videoUrl y materialUrl de las lecciones no compradas y las marca como bloqueadas. Solo las de preview gratuito son públicas.</t>
  </si>
  <si>
    <t xml:space="preserve">Ocultar el contenido únicamente en la interfaz no protege nada: bastaba leer la respuesta de la API.</t>
  </si>
  <si>
    <t xml:space="preserve">Defecto de seguridad detectado en la revisión.</t>
  </si>
  <si>
    <t xml:space="preserve">HU-24</t>
  </si>
  <si>
    <t xml:space="preserve">gestionar usuarios y cambiar sus roles</t>
  </si>
  <si>
    <t xml:space="preserve">delegar la creación de contenido sin tocar la base de datos</t>
  </si>
  <si>
    <t xml:space="preserve">Listado con rol, verificación, cursos e inversión. El cambio de rol es exclusivo de ADMIN y está bloqueado sobre uno mismo.</t>
  </si>
  <si>
    <t xml:space="preserve">Antes el rol solo se podía cambiar por SQL directo.</t>
  </si>
  <si>
    <t xml:space="preserve">HU-25</t>
  </si>
  <si>
    <t xml:space="preserve">Calidad</t>
  </si>
  <si>
    <t xml:space="preserve">contar con pruebas automatizadas</t>
  </si>
  <si>
    <t xml:space="preserve">evitar regresiones al cambiar el código</t>
  </si>
  <si>
    <t xml:space="preserve">43 pruebas de backend: unitarias del AuthService con Mockito y de integración del AuthController con MockMvc sobre H2. Más 32 de interfaz en Compose, escritas y pendientes de ejecutar.</t>
  </si>
  <si>
    <t xml:space="preserve">Sin pruebas, cada cambio en autenticación era una apuesta.</t>
  </si>
  <si>
    <t xml:space="preserve">Las 32 pruebas de Compose están escritas pero requieren emulador; aún no se han ejecutado.</t>
  </si>
  <si>
    <t xml:space="preserve">HU-26</t>
  </si>
  <si>
    <t xml:space="preserve">documentar la API de forma interactiva</t>
  </si>
  <si>
    <t xml:space="preserve">acelerar la integración entre web y móvil</t>
  </si>
  <si>
    <t xml:space="preserve">Swagger UI en /swagger-ui.html con esquema de seguridad JWT, más una colección de Postman con los 20 endpoints.</t>
  </si>
  <si>
    <t xml:space="preserve">La integración móvil se hacía leyendo el código del controlador.</t>
  </si>
  <si>
    <t xml:space="preserve">HU-27</t>
  </si>
  <si>
    <t xml:space="preserve">Empleador</t>
  </si>
  <si>
    <t xml:space="preserve">verificar un certificado por su código público</t>
  </si>
  <si>
    <t xml:space="preserve">confirmar que el candidato realmente completó la ruta</t>
  </si>
  <si>
    <t xml:space="preserve">Página pública en /verificar/{codigo}, sin sesión, con el QR del PDF apuntando a ella. Confirma el certificado sin exponer el correo del estudiante.</t>
  </si>
  <si>
    <t xml:space="preserve">Convierte el certificado en una credencial comprobable, el diferencial declarado del producto.</t>
  </si>
  <si>
    <t xml:space="preserve">Adelantada: HU-11 sin verificación deja el código sin sentido.</t>
  </si>
  <si>
    <t xml:space="preserve">HU-13</t>
  </si>
  <si>
    <t xml:space="preserve">Backlog futuro</t>
  </si>
  <si>
    <t xml:space="preserve">iniciar sesión con Google</t>
  </si>
  <si>
    <t xml:space="preserve">acceder rápido sin recordar otra contraseña</t>
  </si>
  <si>
    <t xml:space="preserve">Botón Continuar con Google funcional en login y registro.</t>
  </si>
  <si>
    <t xml:space="preserve">Mejora de conversión, no bloquea el flujo principal del MVP.</t>
  </si>
  <si>
    <t xml:space="preserve">—</t>
  </si>
  <si>
    <t xml:space="preserve">Por hacer</t>
  </si>
  <si>
    <t xml:space="preserve">HU-15</t>
  </si>
  <si>
    <t xml:space="preserve">Laboratorios</t>
  </si>
  <si>
    <t xml:space="preserve">practicar con un editor de código dentro de la plataforma</t>
  </si>
  <si>
    <t xml:space="preserve">reforzar la teoría con ejercicios prácticos reales</t>
  </si>
  <si>
    <t xml:space="preserve">Editor con ejecución de código y validación automática de resultados.</t>
  </si>
  <si>
    <t xml:space="preserve">Alta complejidad técnica por el sandbox de ejecución. Requiere una fase dedicada.</t>
  </si>
  <si>
    <t xml:space="preserve">HU-16</t>
  </si>
  <si>
    <t xml:space="preserve">descargar materiales del curso sin conexión</t>
  </si>
  <si>
    <t xml:space="preserve">estudiar sin depender de internet</t>
  </si>
  <si>
    <t xml:space="preserve">Descarga de PDF y recursos con almacenamiento local en la PWA.</t>
  </si>
  <si>
    <t xml:space="preserve">Valor agregado, no esencial para validar el modelo de negocio inicial.</t>
  </si>
  <si>
    <t xml:space="preserve">HU-17</t>
  </si>
  <si>
    <t xml:space="preserve">Gamificación</t>
  </si>
  <si>
    <t xml:space="preserve">ganar insignias por completar hitos</t>
  </si>
  <si>
    <t xml:space="preserve">mantenerme motivado a largo plazo</t>
  </si>
  <si>
    <t xml:space="preserve">Insignias visibles en el perfil por logros definidos.</t>
  </si>
  <si>
    <t xml:space="preserve">Mejora la retención a largo plazo pero no es indispensable en la versión inicial.</t>
  </si>
  <si>
    <t xml:space="preserve">HU-18</t>
  </si>
  <si>
    <t xml:space="preserve">aplicar cupones de descuento al pagar</t>
  </si>
  <si>
    <t xml:space="preserve">obtener el curso a un precio reducido</t>
  </si>
  <si>
    <t xml:space="preserve">Campo de cupón validado en el checkout.</t>
  </si>
  <si>
    <t xml:space="preserve">Herramienta de marketing, se agrega una vez exista tráfico real.</t>
  </si>
  <si>
    <t xml:space="preserve">HU-19</t>
  </si>
  <si>
    <t xml:space="preserve">usar una app Android nativa de la plataforma</t>
  </si>
  <si>
    <t xml:space="preserve">tener una experiencia más fluida</t>
  </si>
  <si>
    <t xml:space="preserve">App nativa publicada en Play Store con las funciones core replicadas.</t>
  </si>
  <si>
    <t xml:space="preserve">La app en Kotlin y Compose ya existe con catálogo, compra, lecciones y recuperación de contraseña; falta el empaquetado y la publicación.</t>
  </si>
  <si>
    <t xml:space="preserve">En curso</t>
  </si>
  <si>
    <t xml:space="preserve">HU-20</t>
  </si>
  <si>
    <t xml:space="preserve">Padre o tutor</t>
  </si>
  <si>
    <t xml:space="preserve">crear una cuenta para mi hijo menor de edad</t>
  </si>
  <si>
    <t xml:space="preserve">que acceda a contenido apto bajo supervisión</t>
  </si>
  <si>
    <t xml:space="preserve">Cuenta vinculada al perfil del padre con control parental básico.</t>
  </si>
  <si>
    <t xml:space="preserve">Requiere un módulo de control parental robusto; fuera del alcance de un MVP de un desarrollador.</t>
  </si>
  <si>
    <t xml:space="preserve">HU-28</t>
  </si>
  <si>
    <t xml:space="preserve">entrar en lista de espera cuando un curso agota cupos</t>
  </si>
  <si>
    <t xml:space="preserve">no perder la oportunidad de matricularme</t>
  </si>
  <si>
    <t xml:space="preserve">Registro en lista de espera y aviso automático por correo al liberarse un cupo.</t>
  </si>
  <si>
    <t xml:space="preserve">Consecuencia directa de HU-21: al existir cupos limitados aparece demanda insatisfecha que hoy se pierde.</t>
  </si>
  <si>
    <t xml:space="preserve">HU-29</t>
  </si>
  <si>
    <t xml:space="preserve">ver reseñas y calificaciones de un curso</t>
  </si>
  <si>
    <t xml:space="preserve">decidir con la experiencia de quienes ya lo tomaron</t>
  </si>
  <si>
    <t xml:space="preserve">Calificación de 1 a 5 y reseña, habilitada solo para quien compró el curso y superó el 50% de avance.</t>
  </si>
  <si>
    <t xml:space="preserve">Prueba social en la ficha, con restricción de progreso para evitar reseñas vacías.</t>
  </si>
  <si>
    <t xml:space="preserve">HU-30</t>
  </si>
  <si>
    <t xml:space="preserve">recibir recomendaciones según mis intereses</t>
  </si>
  <si>
    <t xml:space="preserve">descubrir cursos afines sin buscar</t>
  </si>
  <si>
    <t xml:space="preserve">El catálogo ordena primero los cursos que coinciden con los intereses guardados en el perfil.</t>
  </si>
  <si>
    <t xml:space="preserve">Los intereses ya se capturan en HU-14 pero todavía no se usan para nada.</t>
  </si>
  <si>
    <t xml:space="preserve">HU-31</t>
  </si>
  <si>
    <t xml:space="preserve">recibir notificaciones según mis preferencias</t>
  </si>
  <si>
    <t xml:space="preserve">enterarme de lo que me importa sin ruido</t>
  </si>
  <si>
    <t xml:space="preserve">El envío de correos respeta notifyEmail, notifyNewCourses y notifyProgress del perfil.</t>
  </si>
  <si>
    <t xml:space="preserve">Las preferencias ya se guardan en HU-14 pero ningún envío las consulta.</t>
  </si>
  <si>
    <t xml:space="preserve">HU-32</t>
  </si>
  <si>
    <t xml:space="preserve">exportar los reportes del panel</t>
  </si>
  <si>
    <t xml:space="preserve">presentar resultados fuera de la plataforma</t>
  </si>
  <si>
    <t xml:space="preserve">Exportación en CSV y PDF de matrículas, ingresos y progreso por curso.</t>
  </si>
  <si>
    <t xml:space="preserve">Extiende HU-22 hacia el uso administrativo y académico de los datos.</t>
  </si>
  <si>
    <t xml:space="preserve">HU-33</t>
  </si>
  <si>
    <t xml:space="preserve">solicitar un reembolso dentro de los primeros 7 días</t>
  </si>
  <si>
    <t xml:space="preserve">comprar con confianza</t>
  </si>
  <si>
    <t xml:space="preserve">Flujo de reembolso que revoca el acceso, libera el cupo y deja registro del movimiento.</t>
  </si>
  <si>
    <t xml:space="preserve">Con cupos limitados, una compra no reembolsable bloquea un puesto de forma indefinida.</t>
  </si>
  <si>
    <t xml:space="preserve">HU-34</t>
  </si>
  <si>
    <t xml:space="preserve">desplegar con integración continua</t>
  </si>
  <si>
    <t xml:space="preserve">entregar sin pasos manuales ni olvidos</t>
  </si>
  <si>
    <t xml:space="preserve">GitHub Actions que ejecuta las 43 pruebas de HU-25 en cada push y despliega solo si todas pasan.</t>
  </si>
  <si>
    <t xml:space="preserve">El código ya está en GitHub y las pruebas existen, pero nada obliga a ejecutarlas antes de integrar.</t>
  </si>
  <si>
    <t xml:space="preserve">HU-35</t>
  </si>
  <si>
    <t xml:space="preserve">observar la salud del sistema en producción</t>
  </si>
  <si>
    <t xml:space="preserve">detectar fallos antes que el usuario</t>
  </si>
  <si>
    <t xml:space="preserve">Spring Boot Actuator con endpoints de salud, logs estructurados y alerta ante errores repetidos.</t>
  </si>
  <si>
    <t xml:space="preserve">Hoy un fallo en producción solo se descubre cuando alguien lo reporta.</t>
  </si>
  <si>
    <t xml:space="preserve">HU-36</t>
  </si>
  <si>
    <t xml:space="preserve">usar la plataforma en inglés</t>
  </si>
  <si>
    <t xml:space="preserve">que el producto llegue fuera de Colombia</t>
  </si>
  <si>
    <t xml:space="preserve">Internacionalización es/en aplicando el languagePreference guardado en el perfil.</t>
  </si>
  <si>
    <t xml:space="preserve">La preferencia de idioma ya se almacena en HU-14 pero la interfaz sigue fija en español.</t>
  </si>
  <si>
    <t xml:space="preserve">TOTALES</t>
  </si>
  <si>
    <t xml:space="preserve">RESUMEN</t>
  </si>
  <si>
    <t xml:space="preserve">Historias totales</t>
  </si>
  <si>
    <t xml:space="preserve">Historias hechas</t>
  </si>
  <si>
    <t xml:space="preserve">Historias en curso</t>
  </si>
  <si>
    <t xml:space="preserve">Historias por hacer</t>
  </si>
  <si>
    <t xml:space="preserve">SP del MVP v1.0</t>
  </si>
  <si>
    <t xml:space="preserve">SP entregados fuera de backlog</t>
  </si>
  <si>
    <t xml:space="preserve">SP en backlog futuro</t>
  </si>
  <si>
    <t xml:space="preserve">SP entregados en total</t>
  </si>
  <si>
    <t xml:space="preserve">Avance del MVP v1.0</t>
  </si>
  <si>
    <t xml:space="preserve">Historias del MVP con desviación de sprint</t>
  </si>
  <si>
    <t xml:space="preserve">Historias cerradas antes de cumplir su condición</t>
  </si>
  <si>
    <t xml:space="preserve">EJECUCIÓN POR SPRINT</t>
  </si>
  <si>
    <t xml:space="preserve">Sprint</t>
  </si>
  <si>
    <t xml:space="preserve">Objetivo del sprint</t>
  </si>
  <si>
    <t xml:space="preserve">Historias</t>
  </si>
  <si>
    <t xml:space="preserve">SP trabajados</t>
  </si>
  <si>
    <t xml:space="preserve">Acumulado</t>
  </si>
  <si>
    <t xml:space="preserve">Resultado</t>
  </si>
  <si>
    <t xml:space="preserve">Autenticación base</t>
  </si>
  <si>
    <t xml:space="preserve">HU-01, HU-02, HU-03</t>
  </si>
  <si>
    <t xml:space="preserve">Registro, login y recuperación. HU-03 se cerró prematuramente.</t>
  </si>
  <si>
    <t xml:space="preserve">Catálogo público</t>
  </si>
  <si>
    <t xml:space="preserve">HU-04, HU-05</t>
  </si>
  <si>
    <t xml:space="preserve">Catálogo visible sin login. HU-05 sin la lección gratuita.</t>
  </si>
  <si>
    <t xml:space="preserve">Compra</t>
  </si>
  <si>
    <t xml:space="preserve">Checkout funcional pero sin reglas de negocio.</t>
  </si>
  <si>
    <t xml:space="preserve">Contenido y progreso</t>
  </si>
  <si>
    <t xml:space="preserve">HU-07, HU-08</t>
  </si>
  <si>
    <t xml:space="preserve">Reproductor y seguimiento de avance.</t>
  </si>
  <si>
    <t xml:space="preserve">Panel del instructor</t>
  </si>
  <si>
    <t xml:space="preserve">CRUD de cursos y lecciones, sin enlace en la navegación.</t>
  </si>
  <si>
    <t xml:space="preserve">Planificado para HU-10 y HU-11; se desplazó al Sprint 9.</t>
  </si>
  <si>
    <t xml:space="preserve">Movilidad</t>
  </si>
  <si>
    <t xml:space="preserve">Planificado para HU-12; se desplazó al Sprint 9.</t>
  </si>
  <si>
    <t xml:space="preserve">Revisión funcional e integridad de datos</t>
  </si>
  <si>
    <t xml:space="preserve">HU-03, HU-05, HU-06, HU-14, HU-21 a HU-26</t>
  </si>
  <si>
    <t xml:space="preserve">Cierre real de tres historias del MVP más siete nuevas nacidas de la revisión.</t>
  </si>
  <si>
    <t xml:space="preserve">Cierre del MVP</t>
  </si>
  <si>
    <t xml:space="preserve">HU-10, HU-11, HU-12, HU-27</t>
  </si>
  <si>
    <t xml:space="preserve">Evaluación final, certificado verificable y PWA instalable.</t>
  </si>
  <si>
    <t xml:space="preserve">TOTAL</t>
  </si>
  <si>
    <t xml:space="preserve">Los sprints 6 y 7 aparecen en cero porque su alcance se desplazó al Sprint 9. Mostrar el desplazamiento es más útil que reescribir la planificación: la desviación entre lo planificado y lo ejecutado es lo que permite estimar mejor el siguiente sprint.
El total de esta hoja (91 SP trabajados) supera los 81 SP únicos entregados porque HU-03, HU-05 y HU-06 se trabajaron en dos sprints: se dieron por cerradas antes de cumplir su condición y hubo que retomarlas en el Sprint 8. Esos 10 SP de retrabajo son el costo real de haber cerrado historias sin verificar su criterio de aceptación.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</si>
</sst>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D4ED8"/>
      <name val="Arial"/>
      <family val="0"/>
      <charset val="1"/>
    </font>
    <font>
      <i val="true"/>
      <sz val="10"/>
      <color rgb="FF6B7C96"/>
      <name val="Arial"/>
      <family val="0"/>
      <charset val="1"/>
    </font>
    <font>
      <sz val="10"/>
      <color rgb="FF6B7C96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B7C96"/>
      <name val="Arial"/>
      <family val="0"/>
      <charset val="1"/>
    </font>
    <font>
      <sz val="10"/>
      <color rgb="FF101A2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B7C9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01A28"/>
      <name val="Arial"/>
      <family val="0"/>
      <charset val="1"/>
    </font>
    <font>
      <b val="true"/>
      <sz val="9"/>
      <color rgb="FF1D4ED8"/>
      <name val="Arial"/>
      <family val="0"/>
      <charset val="1"/>
    </font>
    <font>
      <sz val="9"/>
      <color rgb="FF101A28"/>
      <name val="Arial"/>
      <family val="0"/>
      <charset val="1"/>
    </font>
    <font>
      <b val="true"/>
      <sz val="9"/>
      <color rgb="FF0F766E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6D28D9"/>
      <name val="Arial"/>
      <family val="0"/>
      <charset val="1"/>
    </font>
    <font>
      <b val="true"/>
      <sz val="9"/>
      <color rgb="FF6B7C96"/>
      <name val="Arial"/>
      <family val="0"/>
      <charset val="1"/>
    </font>
    <font>
      <b val="true"/>
      <sz val="10"/>
      <color rgb="FF101A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C96"/>
      <name val="Arial"/>
      <family val="0"/>
      <charset val="1"/>
    </font>
    <font>
      <i val="true"/>
      <sz val="9"/>
      <color rgb="FFB4530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DEAEA"/>
        <bgColor rgb="FFFDEED6"/>
      </patternFill>
    </fill>
    <fill>
      <patternFill patternType="solid">
        <fgColor rgb="FF101A28"/>
        <bgColor rgb="FF000000"/>
      </patternFill>
    </fill>
    <fill>
      <patternFill patternType="solid">
        <fgColor rgb="FFF5F7FA"/>
        <bgColor rgb="FFFFFFFF"/>
      </patternFill>
    </fill>
    <fill>
      <patternFill patternType="solid">
        <fgColor rgb="FFFDEED6"/>
        <bgColor rgb="FFFDEAEA"/>
      </patternFill>
    </fill>
    <fill>
      <patternFill patternType="solid">
        <fgColor rgb="FFE5EDFF"/>
        <bgColor rgb="FFE8EDF4"/>
      </patternFill>
    </fill>
    <fill>
      <patternFill patternType="solid">
        <fgColor rgb="FFD7F0EC"/>
        <bgColor rgb="FFE8EDF4"/>
      </patternFill>
    </fill>
    <fill>
      <patternFill patternType="solid">
        <fgColor rgb="FFEEE6FD"/>
        <bgColor rgb="FFE8EDF4"/>
      </patternFill>
    </fill>
    <fill>
      <patternFill patternType="solid">
        <fgColor rgb="FFE8EDF4"/>
        <bgColor rgb="FFE5ED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01A2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F0EC"/>
          <bgColor rgb="FF000000"/>
        </patternFill>
      </fill>
    </dxf>
    <dxf>
      <fill>
        <patternFill patternType="solid">
          <fgColor rgb="FFE5EDFF"/>
          <bgColor rgb="FF000000"/>
        </patternFill>
      </fill>
    </dxf>
    <dxf>
      <fill>
        <patternFill patternType="solid">
          <fgColor rgb="FFEEE6FD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FDEED6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E8EDF4"/>
          <bgColor rgb="FF000000"/>
        </patternFill>
      </fill>
    </dxf>
    <dxf>
      <fill>
        <patternFill patternType="solid">
          <fgColor rgb="FF6B7C9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F5F7FA"/>
      <rgbColor rgb="FF6B7C96"/>
      <rgbColor rgb="FF9999FF"/>
      <rgbColor rgb="FFB45309"/>
      <rgbColor rgb="FFFDEED6"/>
      <rgbColor rgb="FFD7F0EC"/>
      <rgbColor rgb="FF660066"/>
      <rgbColor rgb="FFFF8080"/>
      <rgbColor rgb="FF1D4ED8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DFF"/>
      <rgbColor rgb="FFE8EDF4"/>
      <rgbColor rgb="FFFDEAEA"/>
      <rgbColor rgb="FF99CCFF"/>
      <rgbColor rgb="FFFF99CC"/>
      <rgbColor rgb="FFCC99FF"/>
      <rgbColor rgb="FFEEE6F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A28"/>
      <rgbColor rgb="FF333300"/>
      <rgbColor rgb="FFB42318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0" hidden="false" customHeight="true" outlineLevel="0" collapsed="false">
      <c r="B6" s="4" t="s">
        <v>3</v>
      </c>
      <c r="C6" s="4"/>
    </row>
    <row r="8" customFormat="false" ht="19.5" hidden="false" customHeight="true" outlineLevel="0" collapsed="false">
      <c r="B8" s="5" t="s">
        <v>4</v>
      </c>
      <c r="C8" s="5"/>
    </row>
    <row r="9" customFormat="false" ht="15.75" hidden="false" customHeight="true" outlineLevel="0" collapsed="false">
      <c r="B9" s="6" t="s">
        <v>5</v>
      </c>
      <c r="C9" s="7" t="s">
        <v>6</v>
      </c>
    </row>
    <row r="10" customFormat="false" ht="15.75" hidden="false" customHeight="true" outlineLevel="0" collapsed="false">
      <c r="B10" s="8" t="s">
        <v>7</v>
      </c>
      <c r="C10" s="9" t="s">
        <v>8</v>
      </c>
    </row>
    <row r="11" customFormat="false" ht="15.75" hidden="false" customHeight="true" outlineLevel="0" collapsed="false">
      <c r="B11" s="6" t="s">
        <v>9</v>
      </c>
      <c r="C11" s="7" t="s">
        <v>10</v>
      </c>
    </row>
    <row r="12" customFormat="false" ht="15.75" hidden="false" customHeight="true" outlineLevel="0" collapsed="false">
      <c r="B12" s="8" t="s">
        <v>11</v>
      </c>
      <c r="C12" s="9" t="s">
        <v>12</v>
      </c>
    </row>
    <row r="13" customFormat="false" ht="15.75" hidden="false" customHeight="true" outlineLevel="0" collapsed="false">
      <c r="B13" s="6" t="s">
        <v>13</v>
      </c>
      <c r="C13" s="7" t="s">
        <v>14</v>
      </c>
    </row>
    <row r="14" customFormat="false" ht="15.75" hidden="false" customHeight="true" outlineLevel="0" collapsed="false">
      <c r="B14" s="8" t="s">
        <v>15</v>
      </c>
      <c r="C14" s="9" t="s">
        <v>16</v>
      </c>
    </row>
    <row r="15" customFormat="false" ht="15.75" hidden="false" customHeight="true" outlineLevel="0" collapsed="false">
      <c r="B15" s="6" t="s">
        <v>17</v>
      </c>
      <c r="C15" s="7" t="s">
        <v>18</v>
      </c>
    </row>
    <row r="16" customFormat="false" ht="30" hidden="false" customHeight="true" outlineLevel="0" collapsed="false">
      <c r="B16" s="8" t="s">
        <v>19</v>
      </c>
      <c r="C16" s="9" t="s">
        <v>20</v>
      </c>
    </row>
    <row r="17" customFormat="false" ht="15.75" hidden="false" customHeight="true" outlineLevel="0" collapsed="false">
      <c r="B17" s="6" t="s">
        <v>21</v>
      </c>
      <c r="C17" s="7" t="s">
        <v>22</v>
      </c>
    </row>
    <row r="19" customFormat="false" ht="19.5" hidden="false" customHeight="true" outlineLevel="0" collapsed="false">
      <c r="B19" s="5" t="s">
        <v>23</v>
      </c>
      <c r="C19" s="5"/>
    </row>
    <row r="20" customFormat="false" ht="15.75" hidden="false" customHeight="true" outlineLevel="0" collapsed="false">
      <c r="B20" s="6" t="s">
        <v>24</v>
      </c>
      <c r="C20" s="7" t="s">
        <v>25</v>
      </c>
    </row>
    <row r="21" customFormat="false" ht="15.75" hidden="false" customHeight="true" outlineLevel="0" collapsed="false">
      <c r="B21" s="8" t="s">
        <v>26</v>
      </c>
      <c r="C21" s="9" t="s">
        <v>27</v>
      </c>
    </row>
    <row r="22" customFormat="false" ht="15.75" hidden="false" customHeight="true" outlineLevel="0" collapsed="false">
      <c r="B22" s="6" t="s">
        <v>28</v>
      </c>
      <c r="C22" s="7" t="s">
        <v>29</v>
      </c>
    </row>
    <row r="23" customFormat="false" ht="15.75" hidden="false" customHeight="true" outlineLevel="0" collapsed="false">
      <c r="B23" s="8" t="s">
        <v>30</v>
      </c>
      <c r="C23" s="9" t="s">
        <v>31</v>
      </c>
    </row>
    <row r="25" customFormat="false" ht="19.5" hidden="false" customHeight="true" outlineLevel="0" collapsed="false">
      <c r="B25" s="5" t="s">
        <v>32</v>
      </c>
      <c r="C25" s="5"/>
    </row>
    <row r="26" customFormat="false" ht="61.5" hidden="false" customHeight="true" outlineLevel="0" collapsed="false">
      <c r="B26" s="10" t="s">
        <v>33</v>
      </c>
      <c r="C26" s="10"/>
    </row>
    <row r="28" customFormat="false" ht="19.5" hidden="false" customHeight="true" outlineLevel="0" collapsed="false">
      <c r="B28" s="5" t="s">
        <v>34</v>
      </c>
      <c r="C28" s="5"/>
    </row>
    <row r="29" customFormat="false" ht="15.75" hidden="false" customHeight="true" outlineLevel="0" collapsed="false">
      <c r="B29" s="6" t="s">
        <v>35</v>
      </c>
      <c r="C29" s="7" t="s">
        <v>36</v>
      </c>
    </row>
    <row r="30" customFormat="false" ht="15.75" hidden="false" customHeight="true" outlineLevel="0" collapsed="false">
      <c r="B30" s="8" t="s">
        <v>37</v>
      </c>
      <c r="C30" s="9" t="s">
        <v>38</v>
      </c>
    </row>
    <row r="31" customFormat="false" ht="15.75" hidden="false" customHeight="true" outlineLevel="0" collapsed="false">
      <c r="B31" s="6" t="s">
        <v>39</v>
      </c>
      <c r="C31" s="7" t="s">
        <v>40</v>
      </c>
    </row>
  </sheetData>
  <mergeCells count="6">
    <mergeCell ref="B6:C6"/>
    <mergeCell ref="B8:C8"/>
    <mergeCell ref="B19:C19"/>
    <mergeCell ref="B25:C25"/>
    <mergeCell ref="B26:C26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5"/>
    <col collapsed="false" customWidth="true" hidden="false" outlineLevel="0" max="4" min="4" style="0" width="18"/>
    <col collapsed="false" customWidth="true" hidden="false" outlineLevel="0" max="6" min="5" style="0" width="34"/>
    <col collapsed="false" customWidth="true" hidden="false" outlineLevel="0" max="7" min="7" style="0" width="56"/>
    <col collapsed="false" customWidth="true" hidden="false" outlineLevel="0" max="8" min="8" style="0" width="5"/>
    <col collapsed="false" customWidth="true" hidden="false" outlineLevel="0" max="9" min="9" style="0" width="8"/>
    <col collapsed="false" customWidth="true" hidden="false" outlineLevel="0" max="10" min="10" style="0" width="4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48"/>
  </cols>
  <sheetData>
    <row r="1" customFormat="false" ht="24" hidden="false" customHeight="true" outlineLevel="0" collapsed="false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.75" hidden="false" customHeight="true" outlineLevel="0" collapsed="false">
      <c r="A2" s="12" t="s">
        <v>42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customFormat="false" ht="30" hidden="false" customHeight="true" outlineLevel="0" collapsed="false">
      <c r="A4" s="13" t="s">
        <v>43</v>
      </c>
      <c r="B4" s="13" t="s">
        <v>30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24</v>
      </c>
      <c r="L4" s="13" t="s">
        <v>26</v>
      </c>
      <c r="M4" s="13" t="s">
        <v>52</v>
      </c>
      <c r="N4" s="13" t="s">
        <v>28</v>
      </c>
    </row>
    <row r="5" customFormat="false" ht="45.75" hidden="false" customHeight="true" outlineLevel="0" collapsed="false">
      <c r="A5" s="14" t="s">
        <v>53</v>
      </c>
      <c r="B5" s="15" t="s">
        <v>54</v>
      </c>
      <c r="C5" s="16" t="s">
        <v>55</v>
      </c>
      <c r="D5" s="16" t="s">
        <v>56</v>
      </c>
      <c r="E5" s="16" t="s">
        <v>57</v>
      </c>
      <c r="F5" s="16" t="s">
        <v>58</v>
      </c>
      <c r="G5" s="16" t="s">
        <v>59</v>
      </c>
      <c r="H5" s="17" t="n">
        <v>3</v>
      </c>
      <c r="I5" s="17" t="n">
        <v>1</v>
      </c>
      <c r="J5" s="16" t="s">
        <v>60</v>
      </c>
      <c r="K5" s="17" t="s">
        <v>61</v>
      </c>
      <c r="L5" s="17" t="s">
        <v>61</v>
      </c>
      <c r="M5" s="18" t="s">
        <v>62</v>
      </c>
      <c r="N5" s="16"/>
    </row>
    <row r="6" customFormat="false" ht="45.75" hidden="false" customHeight="true" outlineLevel="0" collapsed="false">
      <c r="A6" s="14" t="s">
        <v>63</v>
      </c>
      <c r="B6" s="15" t="s">
        <v>54</v>
      </c>
      <c r="C6" s="16" t="s">
        <v>55</v>
      </c>
      <c r="D6" s="16" t="s">
        <v>64</v>
      </c>
      <c r="E6" s="16" t="s">
        <v>65</v>
      </c>
      <c r="F6" s="16" t="s">
        <v>66</v>
      </c>
      <c r="G6" s="16" t="s">
        <v>67</v>
      </c>
      <c r="H6" s="17" t="n">
        <v>2</v>
      </c>
      <c r="I6" s="17" t="n">
        <v>2</v>
      </c>
      <c r="J6" s="16" t="s">
        <v>68</v>
      </c>
      <c r="K6" s="17" t="s">
        <v>61</v>
      </c>
      <c r="L6" s="17" t="s">
        <v>61</v>
      </c>
      <c r="M6" s="18" t="s">
        <v>62</v>
      </c>
      <c r="N6" s="16"/>
    </row>
    <row r="7" customFormat="false" ht="45.75" hidden="false" customHeight="true" outlineLevel="0" collapsed="false">
      <c r="A7" s="14" t="s">
        <v>69</v>
      </c>
      <c r="B7" s="15" t="s">
        <v>54</v>
      </c>
      <c r="C7" s="16" t="s">
        <v>55</v>
      </c>
      <c r="D7" s="16" t="s">
        <v>64</v>
      </c>
      <c r="E7" s="16" t="s">
        <v>70</v>
      </c>
      <c r="F7" s="16" t="s">
        <v>71</v>
      </c>
      <c r="G7" s="16" t="s">
        <v>72</v>
      </c>
      <c r="H7" s="17" t="n">
        <v>2</v>
      </c>
      <c r="I7" s="17" t="n">
        <v>3</v>
      </c>
      <c r="J7" s="16" t="s">
        <v>73</v>
      </c>
      <c r="K7" s="19" t="s">
        <v>61</v>
      </c>
      <c r="L7" s="20" t="s">
        <v>74</v>
      </c>
      <c r="M7" s="18" t="s">
        <v>62</v>
      </c>
      <c r="N7" s="21" t="s">
        <v>75</v>
      </c>
    </row>
    <row r="8" customFormat="false" ht="45.75" hidden="false" customHeight="true" outlineLevel="0" collapsed="false">
      <c r="A8" s="14" t="s">
        <v>76</v>
      </c>
      <c r="B8" s="15" t="s">
        <v>54</v>
      </c>
      <c r="C8" s="16" t="s">
        <v>77</v>
      </c>
      <c r="D8" s="16" t="s">
        <v>78</v>
      </c>
      <c r="E8" s="16" t="s">
        <v>79</v>
      </c>
      <c r="F8" s="16" t="s">
        <v>80</v>
      </c>
      <c r="G8" s="16" t="s">
        <v>81</v>
      </c>
      <c r="H8" s="17" t="n">
        <v>3</v>
      </c>
      <c r="I8" s="17" t="n">
        <v>4</v>
      </c>
      <c r="J8" s="16" t="s">
        <v>82</v>
      </c>
      <c r="K8" s="19" t="s">
        <v>83</v>
      </c>
      <c r="L8" s="20" t="s">
        <v>84</v>
      </c>
      <c r="M8" s="18" t="s">
        <v>62</v>
      </c>
      <c r="N8" s="21" t="s">
        <v>85</v>
      </c>
    </row>
    <row r="9" customFormat="false" ht="45.75" hidden="false" customHeight="true" outlineLevel="0" collapsed="false">
      <c r="A9" s="14" t="s">
        <v>86</v>
      </c>
      <c r="B9" s="15" t="s">
        <v>54</v>
      </c>
      <c r="C9" s="16" t="s">
        <v>77</v>
      </c>
      <c r="D9" s="16" t="s">
        <v>87</v>
      </c>
      <c r="E9" s="16" t="s">
        <v>88</v>
      </c>
      <c r="F9" s="16" t="s">
        <v>89</v>
      </c>
      <c r="G9" s="16" t="s">
        <v>90</v>
      </c>
      <c r="H9" s="17" t="n">
        <v>3</v>
      </c>
      <c r="I9" s="17" t="n">
        <v>5</v>
      </c>
      <c r="J9" s="16" t="s">
        <v>91</v>
      </c>
      <c r="K9" s="19" t="s">
        <v>84</v>
      </c>
      <c r="L9" s="20" t="s">
        <v>74</v>
      </c>
      <c r="M9" s="18" t="s">
        <v>62</v>
      </c>
      <c r="N9" s="21" t="s">
        <v>92</v>
      </c>
    </row>
    <row r="10" customFormat="false" ht="45.75" hidden="false" customHeight="true" outlineLevel="0" collapsed="false">
      <c r="A10" s="14" t="s">
        <v>93</v>
      </c>
      <c r="B10" s="15" t="s">
        <v>54</v>
      </c>
      <c r="C10" s="16" t="s">
        <v>77</v>
      </c>
      <c r="D10" s="16" t="s">
        <v>87</v>
      </c>
      <c r="E10" s="16" t="s">
        <v>94</v>
      </c>
      <c r="F10" s="16" t="s">
        <v>95</v>
      </c>
      <c r="G10" s="16" t="s">
        <v>96</v>
      </c>
      <c r="H10" s="17" t="n">
        <v>5</v>
      </c>
      <c r="I10" s="17" t="n">
        <v>6</v>
      </c>
      <c r="J10" s="16" t="s">
        <v>97</v>
      </c>
      <c r="K10" s="19" t="s">
        <v>98</v>
      </c>
      <c r="L10" s="20" t="s">
        <v>74</v>
      </c>
      <c r="M10" s="18" t="s">
        <v>62</v>
      </c>
      <c r="N10" s="21" t="s">
        <v>99</v>
      </c>
    </row>
    <row r="11" customFormat="false" ht="45.75" hidden="false" customHeight="true" outlineLevel="0" collapsed="false">
      <c r="A11" s="14" t="s">
        <v>100</v>
      </c>
      <c r="B11" s="15" t="s">
        <v>54</v>
      </c>
      <c r="C11" s="16" t="s">
        <v>101</v>
      </c>
      <c r="D11" s="16" t="s">
        <v>102</v>
      </c>
      <c r="E11" s="16" t="s">
        <v>103</v>
      </c>
      <c r="F11" s="16" t="s">
        <v>104</v>
      </c>
      <c r="G11" s="16" t="s">
        <v>105</v>
      </c>
      <c r="H11" s="17" t="n">
        <v>5</v>
      </c>
      <c r="I11" s="17" t="n">
        <v>7</v>
      </c>
      <c r="J11" s="16" t="s">
        <v>106</v>
      </c>
      <c r="K11" s="19" t="s">
        <v>98</v>
      </c>
      <c r="L11" s="20" t="s">
        <v>107</v>
      </c>
      <c r="M11" s="18" t="s">
        <v>62</v>
      </c>
      <c r="N11" s="21" t="s">
        <v>108</v>
      </c>
    </row>
    <row r="12" customFormat="false" ht="45.75" hidden="false" customHeight="true" outlineLevel="0" collapsed="false">
      <c r="A12" s="14" t="s">
        <v>109</v>
      </c>
      <c r="B12" s="15" t="s">
        <v>54</v>
      </c>
      <c r="C12" s="16" t="s">
        <v>101</v>
      </c>
      <c r="D12" s="16" t="s">
        <v>110</v>
      </c>
      <c r="E12" s="16" t="s">
        <v>111</v>
      </c>
      <c r="F12" s="16" t="s">
        <v>112</v>
      </c>
      <c r="G12" s="16" t="s">
        <v>113</v>
      </c>
      <c r="H12" s="17" t="n">
        <v>3</v>
      </c>
      <c r="I12" s="17" t="n">
        <v>8</v>
      </c>
      <c r="J12" s="16" t="s">
        <v>114</v>
      </c>
      <c r="K12" s="19" t="s">
        <v>98</v>
      </c>
      <c r="L12" s="20" t="s">
        <v>107</v>
      </c>
      <c r="M12" s="18" t="s">
        <v>62</v>
      </c>
      <c r="N12" s="21" t="s">
        <v>108</v>
      </c>
    </row>
    <row r="13" customFormat="false" ht="45.75" hidden="false" customHeight="true" outlineLevel="0" collapsed="false">
      <c r="A13" s="14" t="s">
        <v>115</v>
      </c>
      <c r="B13" s="15" t="s">
        <v>54</v>
      </c>
      <c r="C13" s="16" t="s">
        <v>116</v>
      </c>
      <c r="D13" s="16" t="s">
        <v>116</v>
      </c>
      <c r="E13" s="16" t="s">
        <v>117</v>
      </c>
      <c r="F13" s="16" t="s">
        <v>118</v>
      </c>
      <c r="G13" s="16" t="s">
        <v>119</v>
      </c>
      <c r="H13" s="17" t="n">
        <v>8</v>
      </c>
      <c r="I13" s="17" t="n">
        <v>9</v>
      </c>
      <c r="J13" s="16" t="s">
        <v>120</v>
      </c>
      <c r="K13" s="17" t="s">
        <v>121</v>
      </c>
      <c r="L13" s="17" t="s">
        <v>121</v>
      </c>
      <c r="M13" s="18" t="s">
        <v>62</v>
      </c>
      <c r="N13" s="21" t="s">
        <v>122</v>
      </c>
    </row>
    <row r="14" customFormat="false" ht="45.75" hidden="false" customHeight="true" outlineLevel="0" collapsed="false">
      <c r="A14" s="14" t="s">
        <v>123</v>
      </c>
      <c r="B14" s="15" t="s">
        <v>54</v>
      </c>
      <c r="C14" s="16" t="s">
        <v>124</v>
      </c>
      <c r="D14" s="16" t="s">
        <v>110</v>
      </c>
      <c r="E14" s="16" t="s">
        <v>125</v>
      </c>
      <c r="F14" s="16" t="s">
        <v>126</v>
      </c>
      <c r="G14" s="16" t="s">
        <v>127</v>
      </c>
      <c r="H14" s="17" t="n">
        <v>5</v>
      </c>
      <c r="I14" s="17" t="n">
        <v>10</v>
      </c>
      <c r="J14" s="16" t="s">
        <v>128</v>
      </c>
      <c r="K14" s="19" t="s">
        <v>129</v>
      </c>
      <c r="L14" s="20" t="s">
        <v>130</v>
      </c>
      <c r="M14" s="18" t="s">
        <v>62</v>
      </c>
      <c r="N14" s="16"/>
    </row>
    <row r="15" customFormat="false" ht="45.75" hidden="false" customHeight="true" outlineLevel="0" collapsed="false">
      <c r="A15" s="14" t="s">
        <v>131</v>
      </c>
      <c r="B15" s="15" t="s">
        <v>54</v>
      </c>
      <c r="C15" s="16" t="s">
        <v>124</v>
      </c>
      <c r="D15" s="16" t="s">
        <v>110</v>
      </c>
      <c r="E15" s="16" t="s">
        <v>132</v>
      </c>
      <c r="F15" s="16" t="s">
        <v>133</v>
      </c>
      <c r="G15" s="16" t="s">
        <v>134</v>
      </c>
      <c r="H15" s="17" t="n">
        <v>3</v>
      </c>
      <c r="I15" s="17" t="n">
        <v>11</v>
      </c>
      <c r="J15" s="16" t="s">
        <v>135</v>
      </c>
      <c r="K15" s="19" t="s">
        <v>129</v>
      </c>
      <c r="L15" s="20" t="s">
        <v>130</v>
      </c>
      <c r="M15" s="18" t="s">
        <v>62</v>
      </c>
      <c r="N15" s="16"/>
    </row>
    <row r="16" customFormat="false" ht="45.75" hidden="false" customHeight="true" outlineLevel="0" collapsed="false">
      <c r="A16" s="14" t="s">
        <v>136</v>
      </c>
      <c r="B16" s="15" t="s">
        <v>54</v>
      </c>
      <c r="C16" s="16" t="s">
        <v>137</v>
      </c>
      <c r="D16" s="16" t="s">
        <v>110</v>
      </c>
      <c r="E16" s="16" t="s">
        <v>138</v>
      </c>
      <c r="F16" s="16" t="s">
        <v>139</v>
      </c>
      <c r="G16" s="16" t="s">
        <v>140</v>
      </c>
      <c r="H16" s="17" t="n">
        <v>5</v>
      </c>
      <c r="I16" s="17" t="n">
        <v>12</v>
      </c>
      <c r="J16" s="16" t="s">
        <v>141</v>
      </c>
      <c r="K16" s="19" t="s">
        <v>142</v>
      </c>
      <c r="L16" s="20" t="s">
        <v>130</v>
      </c>
      <c r="M16" s="18" t="s">
        <v>62</v>
      </c>
      <c r="N16" s="16"/>
    </row>
    <row r="17" customFormat="false" ht="45.75" hidden="false" customHeight="true" outlineLevel="0" collapsed="false">
      <c r="A17" s="14" t="s">
        <v>143</v>
      </c>
      <c r="B17" s="18" t="s">
        <v>144</v>
      </c>
      <c r="C17" s="16" t="s">
        <v>145</v>
      </c>
      <c r="D17" s="16" t="s">
        <v>110</v>
      </c>
      <c r="E17" s="16" t="s">
        <v>146</v>
      </c>
      <c r="F17" s="16" t="s">
        <v>147</v>
      </c>
      <c r="G17" s="16" t="s">
        <v>148</v>
      </c>
      <c r="H17" s="17" t="n">
        <v>3</v>
      </c>
      <c r="I17" s="17" t="n">
        <v>14</v>
      </c>
      <c r="J17" s="16" t="s">
        <v>149</v>
      </c>
      <c r="K17" s="19" t="s">
        <v>150</v>
      </c>
      <c r="L17" s="20" t="s">
        <v>74</v>
      </c>
      <c r="M17" s="18" t="s">
        <v>62</v>
      </c>
      <c r="N17" s="21" t="s">
        <v>151</v>
      </c>
    </row>
    <row r="18" customFormat="false" ht="45.75" hidden="false" customHeight="true" outlineLevel="0" collapsed="false">
      <c r="A18" s="14" t="s">
        <v>152</v>
      </c>
      <c r="B18" s="18" t="s">
        <v>144</v>
      </c>
      <c r="C18" s="16" t="s">
        <v>77</v>
      </c>
      <c r="D18" s="16" t="s">
        <v>153</v>
      </c>
      <c r="E18" s="16" t="s">
        <v>154</v>
      </c>
      <c r="F18" s="16" t="s">
        <v>155</v>
      </c>
      <c r="G18" s="16" t="s">
        <v>156</v>
      </c>
      <c r="H18" s="17" t="n">
        <v>3</v>
      </c>
      <c r="I18" s="17" t="n">
        <v>6</v>
      </c>
      <c r="J18" s="16" t="s">
        <v>157</v>
      </c>
      <c r="K18" s="19" t="s">
        <v>158</v>
      </c>
      <c r="L18" s="20" t="s">
        <v>74</v>
      </c>
      <c r="M18" s="18" t="s">
        <v>62</v>
      </c>
      <c r="N18" s="21" t="s">
        <v>159</v>
      </c>
    </row>
    <row r="19" customFormat="false" ht="45.75" hidden="false" customHeight="true" outlineLevel="0" collapsed="false">
      <c r="A19" s="14" t="s">
        <v>160</v>
      </c>
      <c r="B19" s="18" t="s">
        <v>144</v>
      </c>
      <c r="C19" s="16" t="s">
        <v>116</v>
      </c>
      <c r="D19" s="16" t="s">
        <v>116</v>
      </c>
      <c r="E19" s="16" t="s">
        <v>161</v>
      </c>
      <c r="F19" s="16" t="s">
        <v>162</v>
      </c>
      <c r="G19" s="16" t="s">
        <v>163</v>
      </c>
      <c r="H19" s="17" t="n">
        <v>8</v>
      </c>
      <c r="I19" s="17" t="n">
        <v>9</v>
      </c>
      <c r="J19" s="16" t="s">
        <v>164</v>
      </c>
      <c r="K19" s="19" t="s">
        <v>158</v>
      </c>
      <c r="L19" s="20" t="s">
        <v>74</v>
      </c>
      <c r="M19" s="18" t="s">
        <v>62</v>
      </c>
      <c r="N19" s="21" t="s">
        <v>159</v>
      </c>
    </row>
    <row r="20" customFormat="false" ht="45.75" hidden="false" customHeight="true" outlineLevel="0" collapsed="false">
      <c r="A20" s="14" t="s">
        <v>165</v>
      </c>
      <c r="B20" s="18" t="s">
        <v>144</v>
      </c>
      <c r="C20" s="16" t="s">
        <v>101</v>
      </c>
      <c r="D20" s="16" t="s">
        <v>137</v>
      </c>
      <c r="E20" s="16" t="s">
        <v>166</v>
      </c>
      <c r="F20" s="16" t="s">
        <v>167</v>
      </c>
      <c r="G20" s="16" t="s">
        <v>168</v>
      </c>
      <c r="H20" s="17" t="n">
        <v>5</v>
      </c>
      <c r="I20" s="17" t="n">
        <v>7</v>
      </c>
      <c r="J20" s="16" t="s">
        <v>169</v>
      </c>
      <c r="K20" s="19" t="s">
        <v>158</v>
      </c>
      <c r="L20" s="20" t="s">
        <v>74</v>
      </c>
      <c r="M20" s="18" t="s">
        <v>62</v>
      </c>
      <c r="N20" s="21" t="s">
        <v>170</v>
      </c>
    </row>
    <row r="21" customFormat="false" ht="45.75" hidden="false" customHeight="true" outlineLevel="0" collapsed="false">
      <c r="A21" s="14" t="s">
        <v>171</v>
      </c>
      <c r="B21" s="18" t="s">
        <v>144</v>
      </c>
      <c r="C21" s="16" t="s">
        <v>137</v>
      </c>
      <c r="D21" s="16" t="s">
        <v>153</v>
      </c>
      <c r="E21" s="16" t="s">
        <v>172</v>
      </c>
      <c r="F21" s="16" t="s">
        <v>173</v>
      </c>
      <c r="G21" s="16" t="s">
        <v>174</v>
      </c>
      <c r="H21" s="17" t="n">
        <v>3</v>
      </c>
      <c r="I21" s="17" t="n">
        <v>10</v>
      </c>
      <c r="J21" s="16" t="s">
        <v>175</v>
      </c>
      <c r="K21" s="19" t="s">
        <v>158</v>
      </c>
      <c r="L21" s="20" t="s">
        <v>74</v>
      </c>
      <c r="M21" s="18" t="s">
        <v>62</v>
      </c>
      <c r="N21" s="16"/>
    </row>
    <row r="22" customFormat="false" ht="45.75" hidden="false" customHeight="true" outlineLevel="0" collapsed="false">
      <c r="A22" s="14" t="s">
        <v>176</v>
      </c>
      <c r="B22" s="18" t="s">
        <v>144</v>
      </c>
      <c r="C22" s="16" t="s">
        <v>177</v>
      </c>
      <c r="D22" s="16" t="s">
        <v>7</v>
      </c>
      <c r="E22" s="16" t="s">
        <v>178</v>
      </c>
      <c r="F22" s="16" t="s">
        <v>179</v>
      </c>
      <c r="G22" s="16" t="s">
        <v>180</v>
      </c>
      <c r="H22" s="17" t="n">
        <v>5</v>
      </c>
      <c r="I22" s="17" t="n">
        <v>8</v>
      </c>
      <c r="J22" s="16" t="s">
        <v>181</v>
      </c>
      <c r="K22" s="19" t="s">
        <v>158</v>
      </c>
      <c r="L22" s="20" t="s">
        <v>74</v>
      </c>
      <c r="M22" s="18" t="s">
        <v>62</v>
      </c>
      <c r="N22" s="21" t="s">
        <v>182</v>
      </c>
    </row>
    <row r="23" customFormat="false" ht="45.75" hidden="false" customHeight="true" outlineLevel="0" collapsed="false">
      <c r="A23" s="14" t="s">
        <v>183</v>
      </c>
      <c r="B23" s="18" t="s">
        <v>144</v>
      </c>
      <c r="C23" s="16" t="s">
        <v>177</v>
      </c>
      <c r="D23" s="16" t="s">
        <v>7</v>
      </c>
      <c r="E23" s="16" t="s">
        <v>184</v>
      </c>
      <c r="F23" s="16" t="s">
        <v>185</v>
      </c>
      <c r="G23" s="16" t="s">
        <v>186</v>
      </c>
      <c r="H23" s="17" t="n">
        <v>2</v>
      </c>
      <c r="I23" s="17" t="n">
        <v>11</v>
      </c>
      <c r="J23" s="16" t="s">
        <v>187</v>
      </c>
      <c r="K23" s="19" t="s">
        <v>158</v>
      </c>
      <c r="L23" s="20" t="s">
        <v>74</v>
      </c>
      <c r="M23" s="18" t="s">
        <v>62</v>
      </c>
      <c r="N23" s="16"/>
    </row>
    <row r="24" customFormat="false" ht="45.75" hidden="false" customHeight="true" outlineLevel="0" collapsed="false">
      <c r="A24" s="14" t="s">
        <v>188</v>
      </c>
      <c r="B24" s="18" t="s">
        <v>144</v>
      </c>
      <c r="C24" s="16" t="s">
        <v>124</v>
      </c>
      <c r="D24" s="16" t="s">
        <v>189</v>
      </c>
      <c r="E24" s="16" t="s">
        <v>190</v>
      </c>
      <c r="F24" s="16" t="s">
        <v>191</v>
      </c>
      <c r="G24" s="16" t="s">
        <v>192</v>
      </c>
      <c r="H24" s="17" t="n">
        <v>5</v>
      </c>
      <c r="I24" s="17" t="n">
        <v>21</v>
      </c>
      <c r="J24" s="16" t="s">
        <v>193</v>
      </c>
      <c r="K24" s="19" t="s">
        <v>150</v>
      </c>
      <c r="L24" s="20" t="s">
        <v>130</v>
      </c>
      <c r="M24" s="18" t="s">
        <v>62</v>
      </c>
      <c r="N24" s="21" t="s">
        <v>194</v>
      </c>
    </row>
    <row r="25" customFormat="false" ht="45.75" hidden="false" customHeight="true" outlineLevel="0" collapsed="false">
      <c r="A25" s="14" t="s">
        <v>195</v>
      </c>
      <c r="B25" s="22" t="s">
        <v>196</v>
      </c>
      <c r="C25" s="16" t="s">
        <v>55</v>
      </c>
      <c r="D25" s="16" t="s">
        <v>110</v>
      </c>
      <c r="E25" s="16" t="s">
        <v>197</v>
      </c>
      <c r="F25" s="16" t="s">
        <v>198</v>
      </c>
      <c r="G25" s="16" t="s">
        <v>199</v>
      </c>
      <c r="H25" s="17" t="n">
        <v>3</v>
      </c>
      <c r="I25" s="17" t="n">
        <v>13</v>
      </c>
      <c r="J25" s="16" t="s">
        <v>200</v>
      </c>
      <c r="K25" s="17" t="s">
        <v>150</v>
      </c>
      <c r="L25" s="17" t="s">
        <v>201</v>
      </c>
      <c r="M25" s="23" t="s">
        <v>202</v>
      </c>
      <c r="N25" s="16"/>
    </row>
    <row r="26" customFormat="false" ht="45.75" hidden="false" customHeight="true" outlineLevel="0" collapsed="false">
      <c r="A26" s="14" t="s">
        <v>203</v>
      </c>
      <c r="B26" s="22" t="s">
        <v>196</v>
      </c>
      <c r="C26" s="16" t="s">
        <v>204</v>
      </c>
      <c r="D26" s="16" t="s">
        <v>110</v>
      </c>
      <c r="E26" s="16" t="s">
        <v>205</v>
      </c>
      <c r="F26" s="16" t="s">
        <v>206</v>
      </c>
      <c r="G26" s="16" t="s">
        <v>207</v>
      </c>
      <c r="H26" s="17" t="n">
        <v>13</v>
      </c>
      <c r="I26" s="17" t="n">
        <v>15</v>
      </c>
      <c r="J26" s="16" t="s">
        <v>208</v>
      </c>
      <c r="K26" s="17" t="s">
        <v>150</v>
      </c>
      <c r="L26" s="17" t="s">
        <v>201</v>
      </c>
      <c r="M26" s="23" t="s">
        <v>202</v>
      </c>
      <c r="N26" s="16"/>
    </row>
    <row r="27" customFormat="false" ht="45.75" hidden="false" customHeight="true" outlineLevel="0" collapsed="false">
      <c r="A27" s="14" t="s">
        <v>209</v>
      </c>
      <c r="B27" s="22" t="s">
        <v>196</v>
      </c>
      <c r="C27" s="16" t="s">
        <v>101</v>
      </c>
      <c r="D27" s="16" t="s">
        <v>110</v>
      </c>
      <c r="E27" s="16" t="s">
        <v>210</v>
      </c>
      <c r="F27" s="16" t="s">
        <v>211</v>
      </c>
      <c r="G27" s="16" t="s">
        <v>212</v>
      </c>
      <c r="H27" s="17" t="n">
        <v>3</v>
      </c>
      <c r="I27" s="17" t="n">
        <v>16</v>
      </c>
      <c r="J27" s="16" t="s">
        <v>213</v>
      </c>
      <c r="K27" s="17" t="s">
        <v>150</v>
      </c>
      <c r="L27" s="17" t="s">
        <v>201</v>
      </c>
      <c r="M27" s="23" t="s">
        <v>202</v>
      </c>
      <c r="N27" s="16"/>
    </row>
    <row r="28" customFormat="false" ht="45.75" hidden="false" customHeight="true" outlineLevel="0" collapsed="false">
      <c r="A28" s="14" t="s">
        <v>214</v>
      </c>
      <c r="B28" s="22" t="s">
        <v>196</v>
      </c>
      <c r="C28" s="16" t="s">
        <v>215</v>
      </c>
      <c r="D28" s="16" t="s">
        <v>110</v>
      </c>
      <c r="E28" s="16" t="s">
        <v>216</v>
      </c>
      <c r="F28" s="16" t="s">
        <v>217</v>
      </c>
      <c r="G28" s="16" t="s">
        <v>218</v>
      </c>
      <c r="H28" s="17" t="n">
        <v>8</v>
      </c>
      <c r="I28" s="17" t="n">
        <v>17</v>
      </c>
      <c r="J28" s="16" t="s">
        <v>219</v>
      </c>
      <c r="K28" s="17" t="s">
        <v>150</v>
      </c>
      <c r="L28" s="17" t="s">
        <v>201</v>
      </c>
      <c r="M28" s="23" t="s">
        <v>202</v>
      </c>
      <c r="N28" s="16"/>
    </row>
    <row r="29" customFormat="false" ht="45.75" hidden="false" customHeight="true" outlineLevel="0" collapsed="false">
      <c r="A29" s="14" t="s">
        <v>220</v>
      </c>
      <c r="B29" s="22" t="s">
        <v>196</v>
      </c>
      <c r="C29" s="16" t="s">
        <v>77</v>
      </c>
      <c r="D29" s="16" t="s">
        <v>87</v>
      </c>
      <c r="E29" s="16" t="s">
        <v>221</v>
      </c>
      <c r="F29" s="16" t="s">
        <v>222</v>
      </c>
      <c r="G29" s="16" t="s">
        <v>223</v>
      </c>
      <c r="H29" s="17" t="n">
        <v>3</v>
      </c>
      <c r="I29" s="17" t="n">
        <v>18</v>
      </c>
      <c r="J29" s="16" t="s">
        <v>224</v>
      </c>
      <c r="K29" s="17" t="s">
        <v>150</v>
      </c>
      <c r="L29" s="17" t="s">
        <v>201</v>
      </c>
      <c r="M29" s="23" t="s">
        <v>202</v>
      </c>
      <c r="N29" s="16"/>
    </row>
    <row r="30" customFormat="false" ht="45.75" hidden="false" customHeight="true" outlineLevel="0" collapsed="false">
      <c r="A30" s="14" t="s">
        <v>225</v>
      </c>
      <c r="B30" s="22" t="s">
        <v>196</v>
      </c>
      <c r="C30" s="16" t="s">
        <v>137</v>
      </c>
      <c r="D30" s="16" t="s">
        <v>110</v>
      </c>
      <c r="E30" s="16" t="s">
        <v>226</v>
      </c>
      <c r="F30" s="16" t="s">
        <v>227</v>
      </c>
      <c r="G30" s="16" t="s">
        <v>228</v>
      </c>
      <c r="H30" s="17" t="n">
        <v>13</v>
      </c>
      <c r="I30" s="17" t="n">
        <v>19</v>
      </c>
      <c r="J30" s="16" t="s">
        <v>229</v>
      </c>
      <c r="K30" s="17" t="s">
        <v>150</v>
      </c>
      <c r="L30" s="17" t="s">
        <v>230</v>
      </c>
      <c r="M30" s="20" t="s">
        <v>230</v>
      </c>
      <c r="N30" s="16"/>
    </row>
    <row r="31" customFormat="false" ht="45.75" hidden="false" customHeight="true" outlineLevel="0" collapsed="false">
      <c r="A31" s="14" t="s">
        <v>231</v>
      </c>
      <c r="B31" s="22" t="s">
        <v>196</v>
      </c>
      <c r="C31" s="16" t="s">
        <v>55</v>
      </c>
      <c r="D31" s="16" t="s">
        <v>232</v>
      </c>
      <c r="E31" s="16" t="s">
        <v>233</v>
      </c>
      <c r="F31" s="16" t="s">
        <v>234</v>
      </c>
      <c r="G31" s="16" t="s">
        <v>235</v>
      </c>
      <c r="H31" s="17" t="n">
        <v>8</v>
      </c>
      <c r="I31" s="17" t="n">
        <v>20</v>
      </c>
      <c r="J31" s="16" t="s">
        <v>236</v>
      </c>
      <c r="K31" s="17" t="s">
        <v>150</v>
      </c>
      <c r="L31" s="17" t="s">
        <v>201</v>
      </c>
      <c r="M31" s="23" t="s">
        <v>202</v>
      </c>
      <c r="N31" s="16"/>
    </row>
    <row r="32" customFormat="false" ht="45.75" hidden="false" customHeight="true" outlineLevel="0" collapsed="false">
      <c r="A32" s="14" t="s">
        <v>237</v>
      </c>
      <c r="B32" s="22" t="s">
        <v>196</v>
      </c>
      <c r="C32" s="16" t="s">
        <v>77</v>
      </c>
      <c r="D32" s="16" t="s">
        <v>87</v>
      </c>
      <c r="E32" s="16" t="s">
        <v>238</v>
      </c>
      <c r="F32" s="16" t="s">
        <v>239</v>
      </c>
      <c r="G32" s="16" t="s">
        <v>240</v>
      </c>
      <c r="H32" s="17" t="n">
        <v>5</v>
      </c>
      <c r="I32" s="17" t="n">
        <v>22</v>
      </c>
      <c r="J32" s="16" t="s">
        <v>241</v>
      </c>
      <c r="K32" s="17" t="s">
        <v>150</v>
      </c>
      <c r="L32" s="17" t="s">
        <v>201</v>
      </c>
      <c r="M32" s="23" t="s">
        <v>202</v>
      </c>
      <c r="N32" s="16"/>
    </row>
    <row r="33" customFormat="false" ht="45.75" hidden="false" customHeight="true" outlineLevel="0" collapsed="false">
      <c r="A33" s="14" t="s">
        <v>242</v>
      </c>
      <c r="B33" s="22" t="s">
        <v>196</v>
      </c>
      <c r="C33" s="16" t="s">
        <v>77</v>
      </c>
      <c r="D33" s="16" t="s">
        <v>110</v>
      </c>
      <c r="E33" s="16" t="s">
        <v>243</v>
      </c>
      <c r="F33" s="16" t="s">
        <v>244</v>
      </c>
      <c r="G33" s="16" t="s">
        <v>245</v>
      </c>
      <c r="H33" s="17" t="n">
        <v>5</v>
      </c>
      <c r="I33" s="17" t="n">
        <v>23</v>
      </c>
      <c r="J33" s="16" t="s">
        <v>246</v>
      </c>
      <c r="K33" s="17" t="s">
        <v>150</v>
      </c>
      <c r="L33" s="17" t="s">
        <v>201</v>
      </c>
      <c r="M33" s="23" t="s">
        <v>202</v>
      </c>
      <c r="N33" s="16"/>
    </row>
    <row r="34" customFormat="false" ht="45.75" hidden="false" customHeight="true" outlineLevel="0" collapsed="false">
      <c r="A34" s="14" t="s">
        <v>247</v>
      </c>
      <c r="B34" s="22" t="s">
        <v>196</v>
      </c>
      <c r="C34" s="16" t="s">
        <v>145</v>
      </c>
      <c r="D34" s="16" t="s">
        <v>110</v>
      </c>
      <c r="E34" s="16" t="s">
        <v>248</v>
      </c>
      <c r="F34" s="16" t="s">
        <v>249</v>
      </c>
      <c r="G34" s="16" t="s">
        <v>250</v>
      </c>
      <c r="H34" s="17" t="n">
        <v>3</v>
      </c>
      <c r="I34" s="17" t="n">
        <v>24</v>
      </c>
      <c r="J34" s="16" t="s">
        <v>251</v>
      </c>
      <c r="K34" s="17" t="s">
        <v>150</v>
      </c>
      <c r="L34" s="17" t="s">
        <v>201</v>
      </c>
      <c r="M34" s="23" t="s">
        <v>202</v>
      </c>
      <c r="N34" s="16"/>
    </row>
    <row r="35" customFormat="false" ht="45.75" hidden="false" customHeight="true" outlineLevel="0" collapsed="false">
      <c r="A35" s="14" t="s">
        <v>252</v>
      </c>
      <c r="B35" s="22" t="s">
        <v>196</v>
      </c>
      <c r="C35" s="16" t="s">
        <v>145</v>
      </c>
      <c r="D35" s="16" t="s">
        <v>110</v>
      </c>
      <c r="E35" s="16" t="s">
        <v>253</v>
      </c>
      <c r="F35" s="16" t="s">
        <v>254</v>
      </c>
      <c r="G35" s="16" t="s">
        <v>255</v>
      </c>
      <c r="H35" s="17" t="n">
        <v>3</v>
      </c>
      <c r="I35" s="17" t="n">
        <v>25</v>
      </c>
      <c r="J35" s="16" t="s">
        <v>256</v>
      </c>
      <c r="K35" s="17" t="s">
        <v>150</v>
      </c>
      <c r="L35" s="17" t="s">
        <v>201</v>
      </c>
      <c r="M35" s="23" t="s">
        <v>202</v>
      </c>
      <c r="N35" s="16"/>
    </row>
    <row r="36" customFormat="false" ht="45.75" hidden="false" customHeight="true" outlineLevel="0" collapsed="false">
      <c r="A36" s="14" t="s">
        <v>257</v>
      </c>
      <c r="B36" s="22" t="s">
        <v>196</v>
      </c>
      <c r="C36" s="16" t="s">
        <v>116</v>
      </c>
      <c r="D36" s="16" t="s">
        <v>116</v>
      </c>
      <c r="E36" s="16" t="s">
        <v>258</v>
      </c>
      <c r="F36" s="16" t="s">
        <v>259</v>
      </c>
      <c r="G36" s="16" t="s">
        <v>260</v>
      </c>
      <c r="H36" s="17" t="n">
        <v>3</v>
      </c>
      <c r="I36" s="17" t="n">
        <v>26</v>
      </c>
      <c r="J36" s="16" t="s">
        <v>261</v>
      </c>
      <c r="K36" s="17" t="s">
        <v>150</v>
      </c>
      <c r="L36" s="17" t="s">
        <v>201</v>
      </c>
      <c r="M36" s="23" t="s">
        <v>202</v>
      </c>
      <c r="N36" s="16"/>
    </row>
    <row r="37" customFormat="false" ht="45.75" hidden="false" customHeight="true" outlineLevel="0" collapsed="false">
      <c r="A37" s="14" t="s">
        <v>262</v>
      </c>
      <c r="B37" s="22" t="s">
        <v>196</v>
      </c>
      <c r="C37" s="16" t="s">
        <v>77</v>
      </c>
      <c r="D37" s="16" t="s">
        <v>87</v>
      </c>
      <c r="E37" s="16" t="s">
        <v>263</v>
      </c>
      <c r="F37" s="16" t="s">
        <v>264</v>
      </c>
      <c r="G37" s="16" t="s">
        <v>265</v>
      </c>
      <c r="H37" s="17" t="n">
        <v>5</v>
      </c>
      <c r="I37" s="17" t="n">
        <v>27</v>
      </c>
      <c r="J37" s="16" t="s">
        <v>266</v>
      </c>
      <c r="K37" s="17" t="s">
        <v>150</v>
      </c>
      <c r="L37" s="17" t="s">
        <v>201</v>
      </c>
      <c r="M37" s="23" t="s">
        <v>202</v>
      </c>
      <c r="N37" s="16"/>
    </row>
    <row r="38" customFormat="false" ht="45.75" hidden="false" customHeight="true" outlineLevel="0" collapsed="false">
      <c r="A38" s="14" t="s">
        <v>267</v>
      </c>
      <c r="B38" s="22" t="s">
        <v>196</v>
      </c>
      <c r="C38" s="16" t="s">
        <v>177</v>
      </c>
      <c r="D38" s="16" t="s">
        <v>7</v>
      </c>
      <c r="E38" s="16" t="s">
        <v>268</v>
      </c>
      <c r="F38" s="16" t="s">
        <v>269</v>
      </c>
      <c r="G38" s="16" t="s">
        <v>270</v>
      </c>
      <c r="H38" s="17" t="n">
        <v>8</v>
      </c>
      <c r="I38" s="17" t="n">
        <v>28</v>
      </c>
      <c r="J38" s="16" t="s">
        <v>271</v>
      </c>
      <c r="K38" s="17" t="s">
        <v>150</v>
      </c>
      <c r="L38" s="17" t="s">
        <v>201</v>
      </c>
      <c r="M38" s="23" t="s">
        <v>202</v>
      </c>
      <c r="N38" s="16"/>
    </row>
    <row r="39" customFormat="false" ht="45.75" hidden="false" customHeight="true" outlineLevel="0" collapsed="false">
      <c r="A39" s="14" t="s">
        <v>272</v>
      </c>
      <c r="B39" s="22" t="s">
        <v>196</v>
      </c>
      <c r="C39" s="16" t="s">
        <v>177</v>
      </c>
      <c r="D39" s="16" t="s">
        <v>7</v>
      </c>
      <c r="E39" s="16" t="s">
        <v>273</v>
      </c>
      <c r="F39" s="16" t="s">
        <v>274</v>
      </c>
      <c r="G39" s="16" t="s">
        <v>275</v>
      </c>
      <c r="H39" s="17" t="n">
        <v>5</v>
      </c>
      <c r="I39" s="17" t="n">
        <v>29</v>
      </c>
      <c r="J39" s="16" t="s">
        <v>276</v>
      </c>
      <c r="K39" s="17" t="s">
        <v>150</v>
      </c>
      <c r="L39" s="17" t="s">
        <v>201</v>
      </c>
      <c r="M39" s="23" t="s">
        <v>202</v>
      </c>
      <c r="N39" s="16"/>
    </row>
    <row r="40" customFormat="false" ht="45.75" hidden="false" customHeight="true" outlineLevel="0" collapsed="false">
      <c r="A40" s="14" t="s">
        <v>277</v>
      </c>
      <c r="B40" s="22" t="s">
        <v>196</v>
      </c>
      <c r="C40" s="16" t="s">
        <v>137</v>
      </c>
      <c r="D40" s="16" t="s">
        <v>110</v>
      </c>
      <c r="E40" s="16" t="s">
        <v>278</v>
      </c>
      <c r="F40" s="16" t="s">
        <v>279</v>
      </c>
      <c r="G40" s="16" t="s">
        <v>280</v>
      </c>
      <c r="H40" s="17" t="n">
        <v>5</v>
      </c>
      <c r="I40" s="17" t="n">
        <v>30</v>
      </c>
      <c r="J40" s="16" t="s">
        <v>281</v>
      </c>
      <c r="K40" s="17" t="s">
        <v>150</v>
      </c>
      <c r="L40" s="17" t="s">
        <v>201</v>
      </c>
      <c r="M40" s="23" t="s">
        <v>202</v>
      </c>
      <c r="N40" s="16"/>
    </row>
    <row r="42" customFormat="false" ht="15" hidden="false" customHeight="true" outlineLevel="0" collapsed="false">
      <c r="A42" s="24" t="s">
        <v>282</v>
      </c>
      <c r="B42" s="24"/>
      <c r="C42" s="24"/>
      <c r="D42" s="24"/>
      <c r="E42" s="24"/>
      <c r="F42" s="24"/>
      <c r="G42" s="24"/>
      <c r="H42" s="25" t="n">
        <f aca="false">SUM(H5:H40)</f>
        <v>174</v>
      </c>
      <c r="I42" s="26"/>
      <c r="J42" s="26"/>
      <c r="K42" s="26"/>
      <c r="L42" s="26"/>
      <c r="M42" s="26"/>
      <c r="N42" s="26"/>
    </row>
    <row r="44" customFormat="false" ht="15" hidden="false" customHeight="true" outlineLevel="0" collapsed="false">
      <c r="A44" s="27" t="s">
        <v>283</v>
      </c>
      <c r="B44" s="27"/>
      <c r="C44" s="27"/>
    </row>
    <row r="45" customFormat="false" ht="15" hidden="false" customHeight="true" outlineLevel="0" collapsed="false">
      <c r="A45" s="28" t="s">
        <v>284</v>
      </c>
      <c r="B45" s="28"/>
      <c r="C45" s="29" t="n">
        <f aca="false">COUNTA(A5:A40)</f>
        <v>36</v>
      </c>
    </row>
    <row r="46" customFormat="false" ht="15" hidden="false" customHeight="true" outlineLevel="0" collapsed="false">
      <c r="A46" s="30" t="s">
        <v>285</v>
      </c>
      <c r="B46" s="30"/>
      <c r="C46" s="31" t="n">
        <f aca="false">COUNTIF(M5:M40,"Hecho")</f>
        <v>20</v>
      </c>
    </row>
    <row r="47" customFormat="false" ht="15" hidden="false" customHeight="true" outlineLevel="0" collapsed="false">
      <c r="A47" s="28" t="s">
        <v>286</v>
      </c>
      <c r="B47" s="28"/>
      <c r="C47" s="29" t="n">
        <f aca="false">COUNTIF(M5:M40,"En curso")</f>
        <v>1</v>
      </c>
    </row>
    <row r="48" customFormat="false" ht="15" hidden="false" customHeight="true" outlineLevel="0" collapsed="false">
      <c r="A48" s="30" t="s">
        <v>287</v>
      </c>
      <c r="B48" s="30"/>
      <c r="C48" s="31" t="n">
        <f aca="false">COUNTIF(M5:M40,"Por hacer")</f>
        <v>15</v>
      </c>
    </row>
    <row r="49" customFormat="false" ht="15" hidden="false" customHeight="true" outlineLevel="0" collapsed="false">
      <c r="A49" s="28" t="s">
        <v>288</v>
      </c>
      <c r="B49" s="28"/>
      <c r="C49" s="29" t="n">
        <f aca="false">SUMIF(B5:B40,"MVP v1.0",H5:H40)</f>
        <v>47</v>
      </c>
    </row>
    <row r="50" customFormat="false" ht="22.35" hidden="false" customHeight="true" outlineLevel="0" collapsed="false">
      <c r="A50" s="30" t="s">
        <v>289</v>
      </c>
      <c r="B50" s="30"/>
      <c r="C50" s="31" t="n">
        <f aca="false">SUMIF(B5:B40,"Entregado extra",H5:H40)</f>
        <v>34</v>
      </c>
    </row>
    <row r="51" customFormat="false" ht="15" hidden="false" customHeight="true" outlineLevel="0" collapsed="false">
      <c r="A51" s="28" t="s">
        <v>290</v>
      </c>
      <c r="B51" s="28"/>
      <c r="C51" s="29" t="n">
        <f aca="false">SUMIF(B5:B40,"Backlog futuro",H5:H40)</f>
        <v>93</v>
      </c>
    </row>
    <row r="52" customFormat="false" ht="15" hidden="false" customHeight="true" outlineLevel="0" collapsed="false">
      <c r="A52" s="30" t="s">
        <v>291</v>
      </c>
      <c r="B52" s="30"/>
      <c r="C52" s="31" t="n">
        <f aca="false">SUMIF(M5:M40,"Hecho",H5:H40)</f>
        <v>81</v>
      </c>
    </row>
    <row r="53" customFormat="false" ht="15" hidden="false" customHeight="true" outlineLevel="0" collapsed="false">
      <c r="A53" s="28" t="s">
        <v>292</v>
      </c>
      <c r="B53" s="28"/>
      <c r="C53" s="32" t="n">
        <f aca="false">IFERROR(SUMIFS(H5:H40,B5:B40,"MVP v1.0",M5:M40,"Hecho")/SUMIF(B5:B40,"MVP v1.0",H5:H40),0)</f>
        <v>1</v>
      </c>
    </row>
    <row r="54" customFormat="false" ht="22.35" hidden="false" customHeight="true" outlineLevel="0" collapsed="false">
      <c r="A54" s="30" t="s">
        <v>293</v>
      </c>
      <c r="B54" s="30"/>
      <c r="C54" s="31" t="n">
        <f aca="false">SUMPRODUCT((B5:B40="MVP v1.0")*(K5:K40&lt;&gt;L5:L40)*(M5:M40="Hecho"))</f>
        <v>9</v>
      </c>
    </row>
    <row r="55" customFormat="false" ht="22.35" hidden="false" customHeight="true" outlineLevel="0" collapsed="false">
      <c r="A55" s="28" t="s">
        <v>294</v>
      </c>
      <c r="B55" s="28"/>
      <c r="C55" s="29" t="n">
        <f aca="false">SUMPRODUCT((B5:B40="MVP v1.0")*(L5:L40="Sprint 8"))</f>
        <v>3</v>
      </c>
    </row>
  </sheetData>
  <autoFilter ref="A4:N40"/>
  <mergeCells count="15">
    <mergeCell ref="A1:N1"/>
    <mergeCell ref="A2:N2"/>
    <mergeCell ref="A42:G42"/>
    <mergeCell ref="A44:C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</mergeCells>
  <dataValidations count="1">
    <dataValidation allowBlank="false" error="Usa Hecho, En curso o Por hacer. Recuerda que la fuente de verdad es el tablero." errorStyle="stop" errorTitle="Estado no válido" operator="between" showDropDown="false" showErrorMessage="false" showInputMessage="false" sqref="M5:M40" type="list">
      <formula1>"Hecho,En curso,Por hacer"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58"/>
  </cols>
  <sheetData>
    <row r="1" customFormat="false" ht="24" hidden="false" customHeight="true" outlineLevel="0" collapsed="false">
      <c r="A1" s="11" t="s">
        <v>295</v>
      </c>
      <c r="B1" s="11"/>
      <c r="C1" s="11"/>
      <c r="D1" s="11"/>
      <c r="E1" s="11"/>
      <c r="F1" s="11"/>
    </row>
    <row r="3" customFormat="false" ht="21.75" hidden="false" customHeight="true" outlineLevel="0" collapsed="false">
      <c r="A3" s="13" t="s">
        <v>296</v>
      </c>
      <c r="B3" s="13" t="s">
        <v>297</v>
      </c>
      <c r="C3" s="13" t="s">
        <v>298</v>
      </c>
      <c r="D3" s="13" t="s">
        <v>299</v>
      </c>
      <c r="E3" s="13" t="s">
        <v>300</v>
      </c>
      <c r="F3" s="13" t="s">
        <v>301</v>
      </c>
    </row>
    <row r="4" customFormat="false" ht="30" hidden="false" customHeight="true" outlineLevel="0" collapsed="false">
      <c r="A4" s="14" t="s">
        <v>61</v>
      </c>
      <c r="B4" s="16" t="s">
        <v>302</v>
      </c>
      <c r="C4" s="16" t="s">
        <v>303</v>
      </c>
      <c r="D4" s="17" t="n">
        <v>7</v>
      </c>
      <c r="E4" s="14" t="n">
        <f aca="false">SUM($D$4:D4)</f>
        <v>7</v>
      </c>
      <c r="F4" s="33" t="s">
        <v>304</v>
      </c>
    </row>
    <row r="5" customFormat="false" ht="30" hidden="false" customHeight="true" outlineLevel="0" collapsed="false">
      <c r="A5" s="34" t="s">
        <v>84</v>
      </c>
      <c r="B5" s="35" t="s">
        <v>305</v>
      </c>
      <c r="C5" s="35" t="s">
        <v>306</v>
      </c>
      <c r="D5" s="36" t="n">
        <v>6</v>
      </c>
      <c r="E5" s="34" t="n">
        <f aca="false">SUM($D$4:D5)</f>
        <v>13</v>
      </c>
      <c r="F5" s="37" t="s">
        <v>307</v>
      </c>
    </row>
    <row r="6" customFormat="false" ht="30" hidden="false" customHeight="true" outlineLevel="0" collapsed="false">
      <c r="A6" s="14" t="s">
        <v>98</v>
      </c>
      <c r="B6" s="16" t="s">
        <v>308</v>
      </c>
      <c r="C6" s="16" t="s">
        <v>93</v>
      </c>
      <c r="D6" s="17" t="n">
        <v>5</v>
      </c>
      <c r="E6" s="14" t="n">
        <f aca="false">SUM($D$4:D6)</f>
        <v>18</v>
      </c>
      <c r="F6" s="33" t="s">
        <v>309</v>
      </c>
    </row>
    <row r="7" customFormat="false" ht="30" hidden="false" customHeight="true" outlineLevel="0" collapsed="false">
      <c r="A7" s="34" t="s">
        <v>107</v>
      </c>
      <c r="B7" s="35" t="s">
        <v>310</v>
      </c>
      <c r="C7" s="35" t="s">
        <v>311</v>
      </c>
      <c r="D7" s="36" t="n">
        <v>8</v>
      </c>
      <c r="E7" s="34" t="n">
        <f aca="false">SUM($D$4:D7)</f>
        <v>26</v>
      </c>
      <c r="F7" s="37" t="s">
        <v>312</v>
      </c>
    </row>
    <row r="8" customFormat="false" ht="30" hidden="false" customHeight="true" outlineLevel="0" collapsed="false">
      <c r="A8" s="14" t="s">
        <v>121</v>
      </c>
      <c r="B8" s="16" t="s">
        <v>313</v>
      </c>
      <c r="C8" s="16" t="s">
        <v>115</v>
      </c>
      <c r="D8" s="17" t="n">
        <v>8</v>
      </c>
      <c r="E8" s="14" t="n">
        <f aca="false">SUM($D$4:D8)</f>
        <v>34</v>
      </c>
      <c r="F8" s="33" t="s">
        <v>314</v>
      </c>
    </row>
    <row r="9" customFormat="false" ht="30" hidden="false" customHeight="true" outlineLevel="0" collapsed="false">
      <c r="A9" s="34" t="s">
        <v>129</v>
      </c>
      <c r="B9" s="35" t="s">
        <v>124</v>
      </c>
      <c r="C9" s="35" t="s">
        <v>201</v>
      </c>
      <c r="D9" s="19" t="n">
        <v>0</v>
      </c>
      <c r="E9" s="34" t="n">
        <f aca="false">SUM($D$4:D9)</f>
        <v>34</v>
      </c>
      <c r="F9" s="38" t="s">
        <v>315</v>
      </c>
    </row>
    <row r="10" customFormat="false" ht="30" hidden="false" customHeight="true" outlineLevel="0" collapsed="false">
      <c r="A10" s="14" t="s">
        <v>142</v>
      </c>
      <c r="B10" s="16" t="s">
        <v>316</v>
      </c>
      <c r="C10" s="16" t="s">
        <v>201</v>
      </c>
      <c r="D10" s="19" t="n">
        <v>0</v>
      </c>
      <c r="E10" s="14" t="n">
        <f aca="false">SUM($D$4:D10)</f>
        <v>34</v>
      </c>
      <c r="F10" s="39" t="s">
        <v>317</v>
      </c>
    </row>
    <row r="11" customFormat="false" ht="30" hidden="false" customHeight="true" outlineLevel="0" collapsed="false">
      <c r="A11" s="34" t="s">
        <v>74</v>
      </c>
      <c r="B11" s="35" t="s">
        <v>318</v>
      </c>
      <c r="C11" s="35" t="s">
        <v>319</v>
      </c>
      <c r="D11" s="36" t="n">
        <v>39</v>
      </c>
      <c r="E11" s="34" t="n">
        <f aca="false">SUM($D$4:D11)</f>
        <v>73</v>
      </c>
      <c r="F11" s="37" t="s">
        <v>320</v>
      </c>
    </row>
    <row r="12" customFormat="false" ht="30" hidden="false" customHeight="true" outlineLevel="0" collapsed="false">
      <c r="A12" s="14" t="s">
        <v>130</v>
      </c>
      <c r="B12" s="16" t="s">
        <v>321</v>
      </c>
      <c r="C12" s="16" t="s">
        <v>322</v>
      </c>
      <c r="D12" s="17" t="n">
        <v>18</v>
      </c>
      <c r="E12" s="14" t="n">
        <f aca="false">SUM($D$4:D12)</f>
        <v>91</v>
      </c>
      <c r="F12" s="33" t="s">
        <v>323</v>
      </c>
    </row>
    <row r="13" customFormat="false" ht="15" hidden="false" customHeight="false" outlineLevel="0" collapsed="false">
      <c r="A13" s="40" t="s">
        <v>324</v>
      </c>
      <c r="B13" s="26"/>
      <c r="C13" s="26"/>
      <c r="D13" s="25" t="n">
        <f aca="false">SUM(D4:D12)</f>
        <v>91</v>
      </c>
      <c r="E13" s="26"/>
      <c r="F13" s="26"/>
    </row>
    <row r="15" customFormat="false" ht="73.5" hidden="false" customHeight="true" outlineLevel="0" collapsed="false">
      <c r="A15" s="41" t="s">
        <v>325</v>
      </c>
      <c r="B15" s="41"/>
      <c r="C15" s="41"/>
      <c r="D15" s="41"/>
      <c r="E15" s="41"/>
      <c r="F15" s="41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2026-09-29T04:32:04Z</dcterms:created>
  <dc:creator>openpyxl</dc:creator>
  <dc:description/>
  <dc:language>en-US</dc:language>
  <cp:lastModifiedBy/>
  <dcterms:modified xsi:type="dcterms:W3CDTF">2026-09-29T04:32:04Z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